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0ca594b8d09233/Documents/"/>
    </mc:Choice>
  </mc:AlternateContent>
  <xr:revisionPtr revIDLastSave="4" documentId="8_{DBF4BCBA-FBEE-457F-AB81-9A1424FB4FA2}" xr6:coauthVersionLast="47" xr6:coauthVersionMax="47" xr10:uidLastSave="{27E81361-BA80-483A-B873-797172C25CD4}"/>
  <bookViews>
    <workbookView xWindow="-120" yWindow="-120" windowWidth="20730" windowHeight="11040" activeTab="2" xr2:uid="{9AE5D7C6-D5B0-478E-9889-4770603649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" l="1"/>
  <c r="I14" i="3"/>
  <c r="I12" i="3"/>
  <c r="H13" i="3"/>
  <c r="H14" i="3"/>
  <c r="H12" i="3"/>
  <c r="K6" i="2"/>
  <c r="L6" i="2"/>
  <c r="J6" i="2"/>
  <c r="N2" i="2"/>
  <c r="J2" i="2"/>
  <c r="W52" i="1"/>
  <c r="Q56" i="1"/>
  <c r="Q55" i="1"/>
  <c r="V44" i="1"/>
  <c r="V45" i="1" s="1"/>
  <c r="V46" i="1" s="1"/>
  <c r="V47" i="1" s="1"/>
  <c r="P52" i="1"/>
  <c r="L34" i="1"/>
  <c r="N34" i="1" s="1"/>
  <c r="K34" i="1"/>
  <c r="M34" i="1" s="1"/>
  <c r="G18" i="1"/>
  <c r="E19" i="1"/>
  <c r="E20" i="1"/>
  <c r="E21" i="1"/>
  <c r="E22" i="1"/>
  <c r="E23" i="1"/>
  <c r="E24" i="1"/>
  <c r="E25" i="1"/>
  <c r="E26" i="1"/>
  <c r="E27" i="1"/>
  <c r="E18" i="1"/>
  <c r="D19" i="1"/>
  <c r="D20" i="1"/>
  <c r="D21" i="1"/>
  <c r="D22" i="1"/>
  <c r="D23" i="1"/>
  <c r="D24" i="1"/>
  <c r="D25" i="1"/>
  <c r="D26" i="1"/>
  <c r="D27" i="1"/>
  <c r="C19" i="1"/>
  <c r="C20" i="1"/>
  <c r="C21" i="1"/>
  <c r="C22" i="1"/>
  <c r="C23" i="1"/>
  <c r="C24" i="1"/>
  <c r="C25" i="1"/>
  <c r="C26" i="1"/>
  <c r="C27" i="1"/>
  <c r="D18" i="1"/>
  <c r="C18" i="1"/>
  <c r="N3" i="1"/>
  <c r="N4" i="1"/>
  <c r="N5" i="1"/>
  <c r="N6" i="1"/>
  <c r="N7" i="1"/>
  <c r="N8" i="1"/>
  <c r="N9" i="1"/>
  <c r="N10" i="1"/>
  <c r="N11" i="1"/>
  <c r="N12" i="1"/>
  <c r="N13" i="1"/>
  <c r="N14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2" i="1"/>
</calcChain>
</file>

<file path=xl/sharedStrings.xml><?xml version="1.0" encoding="utf-8"?>
<sst xmlns="http://schemas.openxmlformats.org/spreadsheetml/2006/main" count="229" uniqueCount="82">
  <si>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</si>
  <si>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</si>
  <si>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</si>
  <si>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</si>
  <si>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</si>
  <si>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</si>
  <si>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</si>
  <si>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</si>
  <si>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CA-2016-156587</t>
  </si>
  <si>
    <t>First Class</t>
  </si>
  <si>
    <t>AB-10015</t>
  </si>
  <si>
    <t>Aaron Bergman</t>
  </si>
  <si>
    <t>Consumer</t>
  </si>
  <si>
    <t>CA-2016-152905</t>
  </si>
  <si>
    <t>Standard Class</t>
  </si>
  <si>
    <t>CA-2018-140935</t>
  </si>
  <si>
    <t>CA-2019-164000</t>
  </si>
  <si>
    <t>AH-10030</t>
  </si>
  <si>
    <t>Aaron Hawkins</t>
  </si>
  <si>
    <t>Corporate</t>
  </si>
  <si>
    <t>CA-2018-162747</t>
  </si>
  <si>
    <t>Second Class</t>
  </si>
  <si>
    <t>CA-2016-113768</t>
  </si>
  <si>
    <t>US-2016-158400</t>
  </si>
  <si>
    <t>CA-2016-122070</t>
  </si>
  <si>
    <t>add_10_days</t>
  </si>
  <si>
    <t>add 10 month</t>
  </si>
  <si>
    <t>sub 10 months</t>
  </si>
  <si>
    <t>add 10 years</t>
  </si>
  <si>
    <t>AGE</t>
  </si>
  <si>
    <t>year</t>
  </si>
  <si>
    <t>total work days</t>
  </si>
  <si>
    <t>29/5/2025</t>
  </si>
  <si>
    <t>joining date</t>
  </si>
  <si>
    <t>today</t>
  </si>
  <si>
    <t>product id</t>
  </si>
  <si>
    <t>name</t>
  </si>
  <si>
    <t>sales</t>
  </si>
  <si>
    <t>A</t>
  </si>
  <si>
    <t>Z</t>
  </si>
  <si>
    <t>C</t>
  </si>
  <si>
    <t>E</t>
  </si>
  <si>
    <t>F</t>
  </si>
  <si>
    <t>G</t>
  </si>
  <si>
    <t>H</t>
  </si>
  <si>
    <t>seller name</t>
  </si>
  <si>
    <t>quantity sold</t>
  </si>
  <si>
    <t>p</t>
  </si>
  <si>
    <t>o</t>
  </si>
  <si>
    <t>i</t>
  </si>
  <si>
    <t>u</t>
  </si>
  <si>
    <t>t</t>
  </si>
  <si>
    <t>r</t>
  </si>
  <si>
    <t>e</t>
  </si>
  <si>
    <t>w</t>
  </si>
  <si>
    <t xml:space="preserve">  D</t>
  </si>
  <si>
    <t>qua</t>
  </si>
  <si>
    <t>quantity</t>
  </si>
  <si>
    <t>seller</t>
  </si>
  <si>
    <t>sold qua</t>
  </si>
  <si>
    <t>product</t>
  </si>
  <si>
    <t>mobile</t>
  </si>
  <si>
    <t>chair</t>
  </si>
  <si>
    <t>table</t>
  </si>
  <si>
    <t>charger</t>
  </si>
  <si>
    <t>bag</t>
  </si>
  <si>
    <t>bottle</t>
  </si>
  <si>
    <t>product code</t>
  </si>
  <si>
    <t>qwe</t>
  </si>
  <si>
    <t>wqe</t>
  </si>
  <si>
    <t>rew</t>
  </si>
  <si>
    <t>qer</t>
  </si>
  <si>
    <t>ewq</t>
  </si>
  <si>
    <t>weq</t>
  </si>
  <si>
    <t>unit price</t>
  </si>
  <si>
    <t>serialnum</t>
  </si>
  <si>
    <t>value</t>
  </si>
  <si>
    <t>row</t>
  </si>
  <si>
    <t>colnum</t>
  </si>
  <si>
    <t xml:space="preserve">index </t>
  </si>
  <si>
    <t>to find the index bu value</t>
  </si>
  <si>
    <t>hlookup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</si>
</sst>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Open Sans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quotePrefix="1" applyFont="1" applyAlignment="1">
      <alignment horizontal="left"/>
    </xf>
    <xf numFmtId="0" fontId="2" fillId="0" borderId="0" xfId="1" applyFont="1"/>
    <xf numFmtId="0" fontId="3" fillId="0" borderId="0" xfId="1" applyFont="1"/>
    <xf numFmtId="164" fontId="2" fillId="0" borderId="0" xfId="1" applyNumberFormat="1" applyFont="1"/>
    <xf numFmtId="0" fontId="2" fillId="0" borderId="0" xfId="1" quotePrefix="1" applyFont="1"/>
    <xf numFmtId="14" fontId="0" fillId="0" borderId="0" xfId="0" applyNumberFormat="1"/>
    <xf numFmtId="164" fontId="0" fillId="0" borderId="0" xfId="0" applyNumberFormat="1"/>
    <xf numFmtId="16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6FA88060-804A-4158-96EA-C86C38723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85D9-1954-449E-B920-4DD4812EDC6C}">
  <dimension ref="A1:W60"/>
  <sheetViews>
    <sheetView topLeftCell="I1" workbookViewId="0">
      <selection activeCell="O60" sqref="O60"/>
    </sheetView>
  </sheetViews>
  <sheetFormatPr defaultRowHeight="15" x14ac:dyDescent="0.25"/>
  <cols>
    <col min="3" max="3" width="11.5703125" customWidth="1"/>
    <col min="4" max="4" width="12" customWidth="1"/>
    <col min="7" max="7" width="10.7109375" bestFit="1" customWidth="1"/>
    <col min="9" max="9" width="23.85546875" bestFit="1" customWidth="1"/>
    <col min="10" max="10" width="12.5703125" customWidth="1"/>
    <col min="12" max="12" width="12" customWidth="1"/>
    <col min="14" max="14" width="12.140625" customWidth="1"/>
  </cols>
  <sheetData>
    <row r="1" spans="1:14" ht="15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25</v>
      </c>
      <c r="J1" s="1" t="s">
        <v>26</v>
      </c>
      <c r="L1" t="s">
        <v>27</v>
      </c>
      <c r="N1" t="s">
        <v>28</v>
      </c>
    </row>
    <row r="2" spans="1:14" x14ac:dyDescent="0.25">
      <c r="A2" s="3">
        <v>4962</v>
      </c>
      <c r="B2" s="4" t="s">
        <v>8</v>
      </c>
      <c r="C2" s="5">
        <v>42436</v>
      </c>
      <c r="D2" s="5">
        <v>42437</v>
      </c>
      <c r="E2" s="6" t="s">
        <v>9</v>
      </c>
      <c r="F2" s="6" t="s">
        <v>10</v>
      </c>
      <c r="G2" s="6" t="s">
        <v>11</v>
      </c>
      <c r="H2" s="6" t="s">
        <v>12</v>
      </c>
      <c r="I2">
        <f>DAY(C2+10)</f>
        <v>17</v>
      </c>
      <c r="J2" s="7">
        <f>EDATE(C2,10)</f>
        <v>42742</v>
      </c>
      <c r="L2" s="7">
        <f>EDATE(C2,-10)</f>
        <v>42131</v>
      </c>
      <c r="N2" s="7">
        <f>EDATE(C2,120)</f>
        <v>46088</v>
      </c>
    </row>
    <row r="3" spans="1:14" x14ac:dyDescent="0.25">
      <c r="A3" s="3">
        <v>4963</v>
      </c>
      <c r="B3" s="4" t="s">
        <v>8</v>
      </c>
      <c r="C3" s="5">
        <v>42436</v>
      </c>
      <c r="D3" s="5">
        <v>42437</v>
      </c>
      <c r="E3" s="6" t="s">
        <v>9</v>
      </c>
      <c r="F3" s="6" t="s">
        <v>10</v>
      </c>
      <c r="G3" s="6" t="s">
        <v>11</v>
      </c>
      <c r="H3" s="6" t="s">
        <v>12</v>
      </c>
      <c r="I3">
        <f t="shared" ref="I3:I14" si="0">DAY(C3+10)</f>
        <v>17</v>
      </c>
      <c r="J3" s="7">
        <f t="shared" ref="J3:J14" si="1">EDATE(C3,10)</f>
        <v>42742</v>
      </c>
      <c r="L3" s="7">
        <f t="shared" ref="L3:L14" si="2">EDATE(C3,-10)</f>
        <v>42131</v>
      </c>
      <c r="N3" s="7">
        <f t="shared" ref="N3:N14" si="3">EDATE(C3,120)</f>
        <v>46088</v>
      </c>
    </row>
    <row r="4" spans="1:14" x14ac:dyDescent="0.25">
      <c r="A4" s="3">
        <v>4964</v>
      </c>
      <c r="B4" s="4" t="s">
        <v>8</v>
      </c>
      <c r="C4" s="5">
        <v>42436</v>
      </c>
      <c r="D4" s="5">
        <v>42437</v>
      </c>
      <c r="E4" s="6" t="s">
        <v>9</v>
      </c>
      <c r="F4" s="6" t="s">
        <v>10</v>
      </c>
      <c r="G4" s="6" t="s">
        <v>11</v>
      </c>
      <c r="H4" s="6" t="s">
        <v>12</v>
      </c>
      <c r="I4">
        <f t="shared" si="0"/>
        <v>17</v>
      </c>
      <c r="J4" s="7">
        <f t="shared" si="1"/>
        <v>42742</v>
      </c>
      <c r="L4" s="7">
        <f t="shared" si="2"/>
        <v>42131</v>
      </c>
      <c r="N4" s="7">
        <f t="shared" si="3"/>
        <v>46088</v>
      </c>
    </row>
    <row r="5" spans="1:14" x14ac:dyDescent="0.25">
      <c r="A5" s="3">
        <v>8223</v>
      </c>
      <c r="B5" s="4" t="s">
        <v>13</v>
      </c>
      <c r="C5" s="5">
        <v>42418</v>
      </c>
      <c r="D5" s="5">
        <v>42424</v>
      </c>
      <c r="E5" s="6" t="s">
        <v>14</v>
      </c>
      <c r="F5" s="6" t="s">
        <v>10</v>
      </c>
      <c r="G5" s="6" t="s">
        <v>11</v>
      </c>
      <c r="H5" s="6" t="s">
        <v>12</v>
      </c>
      <c r="I5">
        <f t="shared" si="0"/>
        <v>28</v>
      </c>
      <c r="J5" s="7">
        <f t="shared" si="1"/>
        <v>42722</v>
      </c>
      <c r="L5" s="7">
        <f t="shared" si="2"/>
        <v>42112</v>
      </c>
      <c r="N5" s="7">
        <f t="shared" si="3"/>
        <v>46071</v>
      </c>
    </row>
    <row r="6" spans="1:14" x14ac:dyDescent="0.25">
      <c r="A6" s="3">
        <v>8802</v>
      </c>
      <c r="B6" s="4" t="s">
        <v>15</v>
      </c>
      <c r="C6" s="5">
        <v>43414</v>
      </c>
      <c r="D6" s="5">
        <v>43416</v>
      </c>
      <c r="E6" s="6" t="s">
        <v>9</v>
      </c>
      <c r="F6" s="6" t="s">
        <v>10</v>
      </c>
      <c r="G6" s="6" t="s">
        <v>11</v>
      </c>
      <c r="H6" s="6" t="s">
        <v>12</v>
      </c>
      <c r="I6">
        <f t="shared" si="0"/>
        <v>20</v>
      </c>
      <c r="J6" s="7">
        <f t="shared" si="1"/>
        <v>43718</v>
      </c>
      <c r="L6" s="7">
        <f t="shared" si="2"/>
        <v>43110</v>
      </c>
      <c r="N6" s="7">
        <f t="shared" si="3"/>
        <v>47067</v>
      </c>
    </row>
    <row r="7" spans="1:14" x14ac:dyDescent="0.25">
      <c r="A7" s="3">
        <v>8803</v>
      </c>
      <c r="B7" s="4" t="s">
        <v>15</v>
      </c>
      <c r="C7" s="5">
        <v>43414</v>
      </c>
      <c r="D7" s="5">
        <v>43416</v>
      </c>
      <c r="E7" s="6" t="s">
        <v>9</v>
      </c>
      <c r="F7" s="6" t="s">
        <v>10</v>
      </c>
      <c r="G7" s="6" t="s">
        <v>11</v>
      </c>
      <c r="H7" s="6" t="s">
        <v>12</v>
      </c>
      <c r="I7">
        <f t="shared" si="0"/>
        <v>20</v>
      </c>
      <c r="J7" s="7">
        <f t="shared" si="1"/>
        <v>43718</v>
      </c>
      <c r="L7" s="7">
        <f t="shared" si="2"/>
        <v>43110</v>
      </c>
      <c r="N7" s="7">
        <f t="shared" si="3"/>
        <v>47067</v>
      </c>
    </row>
    <row r="8" spans="1:14" x14ac:dyDescent="0.25">
      <c r="A8" s="3">
        <v>3200</v>
      </c>
      <c r="B8" s="4" t="s">
        <v>16</v>
      </c>
      <c r="C8" s="5">
        <v>43817</v>
      </c>
      <c r="D8" s="5">
        <v>43821</v>
      </c>
      <c r="E8" s="6" t="s">
        <v>14</v>
      </c>
      <c r="F8" s="6" t="s">
        <v>17</v>
      </c>
      <c r="G8" s="6" t="s">
        <v>18</v>
      </c>
      <c r="H8" s="6" t="s">
        <v>19</v>
      </c>
      <c r="I8">
        <f t="shared" si="0"/>
        <v>28</v>
      </c>
      <c r="J8" s="7">
        <f t="shared" si="1"/>
        <v>44122</v>
      </c>
      <c r="L8" s="7">
        <f t="shared" si="2"/>
        <v>43514</v>
      </c>
      <c r="N8" s="7">
        <f t="shared" si="3"/>
        <v>47470</v>
      </c>
    </row>
    <row r="9" spans="1:14" x14ac:dyDescent="0.25">
      <c r="A9" s="3">
        <v>3312</v>
      </c>
      <c r="B9" s="4" t="s">
        <v>20</v>
      </c>
      <c r="C9" s="5">
        <v>43179</v>
      </c>
      <c r="D9" s="5">
        <v>43184</v>
      </c>
      <c r="E9" s="6" t="s">
        <v>21</v>
      </c>
      <c r="F9" s="6" t="s">
        <v>17</v>
      </c>
      <c r="G9" s="6" t="s">
        <v>18</v>
      </c>
      <c r="H9" s="6" t="s">
        <v>19</v>
      </c>
      <c r="I9">
        <f t="shared" si="0"/>
        <v>30</v>
      </c>
      <c r="J9" s="7">
        <f t="shared" si="1"/>
        <v>43485</v>
      </c>
      <c r="L9" s="7">
        <f t="shared" si="2"/>
        <v>42875</v>
      </c>
      <c r="N9" s="7">
        <f t="shared" si="3"/>
        <v>46832</v>
      </c>
    </row>
    <row r="10" spans="1:14" x14ac:dyDescent="0.25">
      <c r="A10" s="3">
        <v>5355</v>
      </c>
      <c r="B10" s="4" t="s">
        <v>22</v>
      </c>
      <c r="C10" s="5">
        <v>42503</v>
      </c>
      <c r="D10" s="5">
        <v>42509</v>
      </c>
      <c r="E10" s="6" t="s">
        <v>14</v>
      </c>
      <c r="F10" s="6" t="s">
        <v>17</v>
      </c>
      <c r="G10" s="6" t="s">
        <v>18</v>
      </c>
      <c r="H10" s="6" t="s">
        <v>19</v>
      </c>
      <c r="I10">
        <f t="shared" si="0"/>
        <v>23</v>
      </c>
      <c r="J10" s="7">
        <f t="shared" si="1"/>
        <v>42807</v>
      </c>
      <c r="L10" s="7">
        <f t="shared" si="2"/>
        <v>42198</v>
      </c>
      <c r="N10" s="7">
        <f t="shared" si="3"/>
        <v>46155</v>
      </c>
    </row>
    <row r="11" spans="1:14" x14ac:dyDescent="0.25">
      <c r="A11" s="3">
        <v>5356</v>
      </c>
      <c r="B11" s="4" t="s">
        <v>22</v>
      </c>
      <c r="C11" s="5">
        <v>42503</v>
      </c>
      <c r="D11" s="5">
        <v>42509</v>
      </c>
      <c r="E11" s="6" t="s">
        <v>14</v>
      </c>
      <c r="F11" s="6" t="s">
        <v>17</v>
      </c>
      <c r="G11" s="6" t="s">
        <v>18</v>
      </c>
      <c r="H11" s="6" t="s">
        <v>19</v>
      </c>
      <c r="I11">
        <f t="shared" si="0"/>
        <v>23</v>
      </c>
      <c r="J11" s="7">
        <f t="shared" si="1"/>
        <v>42807</v>
      </c>
      <c r="L11" s="7">
        <f t="shared" si="2"/>
        <v>42198</v>
      </c>
      <c r="N11" s="7">
        <f t="shared" si="3"/>
        <v>46155</v>
      </c>
    </row>
    <row r="12" spans="1:14" x14ac:dyDescent="0.25">
      <c r="A12" s="3">
        <v>6129</v>
      </c>
      <c r="B12" s="4" t="s">
        <v>23</v>
      </c>
      <c r="C12" s="5">
        <v>42668</v>
      </c>
      <c r="D12" s="5">
        <v>42671</v>
      </c>
      <c r="E12" s="6" t="s">
        <v>9</v>
      </c>
      <c r="F12" s="6" t="s">
        <v>17</v>
      </c>
      <c r="G12" s="6" t="s">
        <v>18</v>
      </c>
      <c r="H12" s="6" t="s">
        <v>19</v>
      </c>
      <c r="I12">
        <f t="shared" si="0"/>
        <v>4</v>
      </c>
      <c r="J12" s="7">
        <f t="shared" si="1"/>
        <v>42972</v>
      </c>
      <c r="L12" s="7">
        <f t="shared" si="2"/>
        <v>42363</v>
      </c>
      <c r="N12" s="7">
        <f t="shared" si="3"/>
        <v>46320</v>
      </c>
    </row>
    <row r="13" spans="1:14" x14ac:dyDescent="0.25">
      <c r="A13" s="3">
        <v>7164</v>
      </c>
      <c r="B13" s="4" t="s">
        <v>24</v>
      </c>
      <c r="C13" s="5">
        <v>42482</v>
      </c>
      <c r="D13" s="5">
        <v>42484</v>
      </c>
      <c r="E13" s="6" t="s">
        <v>21</v>
      </c>
      <c r="F13" s="6" t="s">
        <v>17</v>
      </c>
      <c r="G13" s="6" t="s">
        <v>18</v>
      </c>
      <c r="H13" s="6" t="s">
        <v>19</v>
      </c>
      <c r="I13">
        <f t="shared" si="0"/>
        <v>2</v>
      </c>
      <c r="J13" s="7">
        <f t="shared" si="1"/>
        <v>42788</v>
      </c>
      <c r="L13" s="7">
        <f t="shared" si="2"/>
        <v>42177</v>
      </c>
      <c r="N13" s="7">
        <f t="shared" si="3"/>
        <v>46134</v>
      </c>
    </row>
    <row r="14" spans="1:14" x14ac:dyDescent="0.25">
      <c r="A14" s="3">
        <v>7165</v>
      </c>
      <c r="B14" s="4" t="s">
        <v>24</v>
      </c>
      <c r="C14" s="5">
        <v>42482</v>
      </c>
      <c r="D14" s="5">
        <v>42484</v>
      </c>
      <c r="E14" s="6" t="s">
        <v>21</v>
      </c>
      <c r="F14" s="6" t="s">
        <v>17</v>
      </c>
      <c r="G14" s="6" t="s">
        <v>18</v>
      </c>
      <c r="H14" s="6" t="s">
        <v>19</v>
      </c>
      <c r="I14">
        <f t="shared" si="0"/>
        <v>2</v>
      </c>
      <c r="J14" s="7">
        <f t="shared" si="1"/>
        <v>42788</v>
      </c>
      <c r="L14" s="7">
        <f t="shared" si="2"/>
        <v>42177</v>
      </c>
      <c r="N14" s="7">
        <f t="shared" si="3"/>
        <v>46134</v>
      </c>
    </row>
    <row r="17" spans="2:10" ht="15.75" x14ac:dyDescent="0.3">
      <c r="B17" s="2" t="s">
        <v>2</v>
      </c>
      <c r="C17" t="s">
        <v>29</v>
      </c>
      <c r="D17" t="s">
        <v>30</v>
      </c>
      <c r="E17" s="3" t="s">
        <v>31</v>
      </c>
      <c r="J17" s="7">
        <v>45877</v>
      </c>
    </row>
    <row r="18" spans="2:10" ht="15.75" x14ac:dyDescent="0.3">
      <c r="B18" s="5">
        <v>42436</v>
      </c>
      <c r="C18" s="8">
        <f ca="1">NOW()-B18</f>
        <v>3379.5362540509232</v>
      </c>
      <c r="D18">
        <f>YEAR(B18)</f>
        <v>2016</v>
      </c>
      <c r="E18">
        <f ca="1">NETWORKDAYS(B18,NOW())</f>
        <v>2415</v>
      </c>
      <c r="G18" t="e">
        <f>NETWORKDAYS</f>
        <v>#NAME?</v>
      </c>
      <c r="J18" s="7">
        <v>45690</v>
      </c>
    </row>
    <row r="19" spans="2:10" ht="15.75" x14ac:dyDescent="0.3">
      <c r="B19" s="5">
        <v>42436</v>
      </c>
      <c r="C19" s="8">
        <f t="shared" ref="C19:C27" ca="1" si="4">NOW()-B19</f>
        <v>3379.5362540509232</v>
      </c>
      <c r="D19">
        <f t="shared" ref="D19:D27" si="5">YEAR(B19)</f>
        <v>2016</v>
      </c>
      <c r="E19">
        <f t="shared" ref="E19:E27" ca="1" si="6">NETWORKDAYS(B19,NOW())</f>
        <v>2415</v>
      </c>
      <c r="J19" s="9">
        <v>45719</v>
      </c>
    </row>
    <row r="20" spans="2:10" ht="15.75" x14ac:dyDescent="0.3">
      <c r="B20" s="5">
        <v>42436</v>
      </c>
      <c r="C20" s="8">
        <f t="shared" ca="1" si="4"/>
        <v>3379.5362540509232</v>
      </c>
      <c r="D20">
        <f t="shared" si="5"/>
        <v>2016</v>
      </c>
      <c r="E20">
        <f t="shared" ca="1" si="6"/>
        <v>2415</v>
      </c>
      <c r="J20" t="s">
        <v>32</v>
      </c>
    </row>
    <row r="21" spans="2:10" ht="15.75" x14ac:dyDescent="0.3">
      <c r="B21" s="5">
        <v>42418</v>
      </c>
      <c r="C21" s="8">
        <f t="shared" ca="1" si="4"/>
        <v>3397.5362540509232</v>
      </c>
      <c r="D21">
        <f t="shared" si="5"/>
        <v>2016</v>
      </c>
      <c r="E21">
        <f t="shared" ca="1" si="6"/>
        <v>2427</v>
      </c>
    </row>
    <row r="22" spans="2:10" ht="15.75" x14ac:dyDescent="0.3">
      <c r="B22" s="5">
        <v>43179</v>
      </c>
      <c r="C22" s="8">
        <f t="shared" ca="1" si="4"/>
        <v>2636.5362540509232</v>
      </c>
      <c r="D22">
        <f t="shared" si="5"/>
        <v>2018</v>
      </c>
      <c r="E22">
        <f t="shared" ca="1" si="6"/>
        <v>1884</v>
      </c>
    </row>
    <row r="23" spans="2:10" ht="15.75" x14ac:dyDescent="0.3">
      <c r="B23" s="5">
        <v>42503</v>
      </c>
      <c r="C23" s="8">
        <f t="shared" ca="1" si="4"/>
        <v>3312.5362540509232</v>
      </c>
      <c r="D23">
        <f t="shared" si="5"/>
        <v>2016</v>
      </c>
      <c r="E23">
        <f t="shared" ca="1" si="6"/>
        <v>2366</v>
      </c>
    </row>
    <row r="24" spans="2:10" ht="15.75" x14ac:dyDescent="0.3">
      <c r="B24" s="5">
        <v>42503</v>
      </c>
      <c r="C24" s="8">
        <f t="shared" ca="1" si="4"/>
        <v>3312.5362540509232</v>
      </c>
      <c r="D24">
        <f t="shared" si="5"/>
        <v>2016</v>
      </c>
      <c r="E24">
        <f t="shared" ca="1" si="6"/>
        <v>2366</v>
      </c>
    </row>
    <row r="25" spans="2:10" ht="15.75" x14ac:dyDescent="0.3">
      <c r="B25" s="5"/>
      <c r="C25" s="8">
        <f t="shared" ca="1" si="4"/>
        <v>45815.536254050923</v>
      </c>
      <c r="D25">
        <f t="shared" si="5"/>
        <v>1900</v>
      </c>
      <c r="E25">
        <f t="shared" ca="1" si="6"/>
        <v>32725</v>
      </c>
    </row>
    <row r="26" spans="2:10" ht="15.75" x14ac:dyDescent="0.3">
      <c r="B26" s="5">
        <v>42482</v>
      </c>
      <c r="C26" s="8">
        <f t="shared" ca="1" si="4"/>
        <v>3333.5362540509232</v>
      </c>
      <c r="D26">
        <f t="shared" si="5"/>
        <v>2016</v>
      </c>
      <c r="E26">
        <f t="shared" ca="1" si="6"/>
        <v>2381</v>
      </c>
    </row>
    <row r="27" spans="2:10" ht="15.75" x14ac:dyDescent="0.3">
      <c r="B27" s="5">
        <v>42482</v>
      </c>
      <c r="C27" s="8">
        <f t="shared" ca="1" si="4"/>
        <v>3333.5362540509232</v>
      </c>
      <c r="D27">
        <f t="shared" si="5"/>
        <v>2016</v>
      </c>
      <c r="E27">
        <f t="shared" ca="1" si="6"/>
        <v>2381</v>
      </c>
    </row>
    <row r="28" spans="2:10" ht="15.75" x14ac:dyDescent="0.3">
      <c r="B28" s="5"/>
    </row>
    <row r="29" spans="2:10" ht="15.75" x14ac:dyDescent="0.3">
      <c r="B29" s="5"/>
    </row>
    <row r="30" spans="2:10" ht="15.75" x14ac:dyDescent="0.3">
      <c r="B30" s="5"/>
    </row>
    <row r="31" spans="2:10" x14ac:dyDescent="0.25">
      <c r="E31" t="s">
        <v>33</v>
      </c>
      <c r="G31" t="s">
        <v>34</v>
      </c>
    </row>
    <row r="32" spans="2:10" x14ac:dyDescent="0.25">
      <c r="E32" s="7">
        <v>45877</v>
      </c>
      <c r="G32" s="7">
        <v>46003</v>
      </c>
    </row>
    <row r="33" spans="1:22" x14ac:dyDescent="0.25">
      <c r="A33" t="s">
        <v>35</v>
      </c>
      <c r="B33" t="s">
        <v>36</v>
      </c>
      <c r="C33" t="s">
        <v>37</v>
      </c>
      <c r="D33" t="s">
        <v>45</v>
      </c>
      <c r="E33" t="s">
        <v>46</v>
      </c>
      <c r="J33" s="10" t="s">
        <v>35</v>
      </c>
      <c r="K33" s="10" t="s">
        <v>36</v>
      </c>
      <c r="L33" s="10" t="s">
        <v>37</v>
      </c>
      <c r="M33" s="10" t="s">
        <v>45</v>
      </c>
      <c r="N33" s="10" t="s">
        <v>56</v>
      </c>
    </row>
    <row r="34" spans="1:22" x14ac:dyDescent="0.25">
      <c r="A34">
        <v>23</v>
      </c>
      <c r="B34" t="s">
        <v>38</v>
      </c>
      <c r="C34">
        <v>1</v>
      </c>
      <c r="D34" t="s">
        <v>47</v>
      </c>
      <c r="E34">
        <v>3</v>
      </c>
      <c r="J34">
        <v>234</v>
      </c>
      <c r="K34" t="str">
        <f>VLOOKUP(J34,A33:E41,2)</f>
        <v xml:space="preserve">  D</v>
      </c>
      <c r="L34">
        <f>VLOOKUP(J34,A33:E41,3)</f>
        <v>4</v>
      </c>
      <c r="M34" t="str">
        <f t="shared" ref="M34:N34" si="7">VLOOKUP(K34,B33:F41,3)</f>
        <v>u</v>
      </c>
      <c r="N34">
        <f t="shared" si="7"/>
        <v>6</v>
      </c>
    </row>
    <row r="35" spans="1:22" x14ac:dyDescent="0.25">
      <c r="A35">
        <v>43</v>
      </c>
      <c r="B35" t="s">
        <v>39</v>
      </c>
      <c r="C35">
        <v>2</v>
      </c>
      <c r="D35" t="s">
        <v>48</v>
      </c>
      <c r="E35">
        <v>4</v>
      </c>
    </row>
    <row r="36" spans="1:22" x14ac:dyDescent="0.25">
      <c r="A36">
        <v>123</v>
      </c>
      <c r="B36" t="s">
        <v>40</v>
      </c>
      <c r="C36">
        <v>3</v>
      </c>
      <c r="D36" t="s">
        <v>49</v>
      </c>
      <c r="E36">
        <v>5</v>
      </c>
    </row>
    <row r="37" spans="1:22" x14ac:dyDescent="0.25">
      <c r="A37">
        <v>234</v>
      </c>
      <c r="B37" t="s">
        <v>55</v>
      </c>
      <c r="C37">
        <v>4</v>
      </c>
      <c r="D37" t="s">
        <v>50</v>
      </c>
      <c r="E37">
        <v>6</v>
      </c>
    </row>
    <row r="38" spans="1:22" x14ac:dyDescent="0.25">
      <c r="A38">
        <v>2342</v>
      </c>
      <c r="B38" t="s">
        <v>41</v>
      </c>
      <c r="C38">
        <v>5</v>
      </c>
      <c r="D38" t="s">
        <v>51</v>
      </c>
      <c r="E38">
        <v>7</v>
      </c>
    </row>
    <row r="39" spans="1:22" x14ac:dyDescent="0.25">
      <c r="A39">
        <v>2344</v>
      </c>
      <c r="B39" t="s">
        <v>42</v>
      </c>
      <c r="C39">
        <v>6</v>
      </c>
      <c r="D39" t="s">
        <v>52</v>
      </c>
      <c r="E39">
        <v>8</v>
      </c>
    </row>
    <row r="40" spans="1:22" x14ac:dyDescent="0.25">
      <c r="A40">
        <v>3444</v>
      </c>
      <c r="B40" t="s">
        <v>43</v>
      </c>
      <c r="C40">
        <v>7</v>
      </c>
      <c r="D40" t="s">
        <v>53</v>
      </c>
      <c r="E40">
        <v>9</v>
      </c>
    </row>
    <row r="41" spans="1:22" x14ac:dyDescent="0.25">
      <c r="A41">
        <v>23412</v>
      </c>
      <c r="B41" t="s">
        <v>44</v>
      </c>
      <c r="C41">
        <v>8</v>
      </c>
      <c r="D41" t="s">
        <v>54</v>
      </c>
      <c r="E41">
        <v>2</v>
      </c>
    </row>
    <row r="43" spans="1:22" x14ac:dyDescent="0.25">
      <c r="K43" t="s">
        <v>35</v>
      </c>
      <c r="L43">
        <v>23</v>
      </c>
      <c r="M43">
        <v>43</v>
      </c>
      <c r="N43">
        <v>123</v>
      </c>
      <c r="O43">
        <v>234</v>
      </c>
      <c r="P43">
        <v>2342</v>
      </c>
      <c r="Q43">
        <v>2344</v>
      </c>
      <c r="R43">
        <v>3444</v>
      </c>
      <c r="S43">
        <v>23412</v>
      </c>
      <c r="U43" t="s">
        <v>35</v>
      </c>
      <c r="V43">
        <v>234</v>
      </c>
    </row>
    <row r="44" spans="1:22" x14ac:dyDescent="0.25">
      <c r="K44" t="s">
        <v>36</v>
      </c>
      <c r="L44" t="s">
        <v>38</v>
      </c>
      <c r="M44" t="s">
        <v>39</v>
      </c>
      <c r="N44" t="s">
        <v>40</v>
      </c>
      <c r="O44" t="s">
        <v>55</v>
      </c>
      <c r="P44" t="s">
        <v>41</v>
      </c>
      <c r="Q44" t="s">
        <v>42</v>
      </c>
      <c r="R44" t="s">
        <v>43</v>
      </c>
      <c r="S44" t="s">
        <v>44</v>
      </c>
      <c r="U44" t="s">
        <v>36</v>
      </c>
      <c r="V44" t="str">
        <f>HLOOKUP(V43,K43:S47,2)</f>
        <v xml:space="preserve">  D</v>
      </c>
    </row>
    <row r="45" spans="1:22" x14ac:dyDescent="0.25">
      <c r="K45" t="s">
        <v>37</v>
      </c>
      <c r="L45">
        <v>1</v>
      </c>
      <c r="M45">
        <v>2</v>
      </c>
      <c r="N45">
        <v>3</v>
      </c>
      <c r="O45">
        <v>4</v>
      </c>
      <c r="P45">
        <v>5</v>
      </c>
      <c r="Q45">
        <v>6</v>
      </c>
      <c r="R45">
        <v>7</v>
      </c>
      <c r="S45">
        <v>8</v>
      </c>
      <c r="U45" t="s">
        <v>37</v>
      </c>
      <c r="V45">
        <f t="shared" ref="V45:V47" si="8">HLOOKUP(V44,K44:S48,2)</f>
        <v>4</v>
      </c>
    </row>
    <row r="46" spans="1:22" x14ac:dyDescent="0.25">
      <c r="K46" t="s">
        <v>45</v>
      </c>
      <c r="L46" t="s">
        <v>47</v>
      </c>
      <c r="M46" t="s">
        <v>48</v>
      </c>
      <c r="N46" t="s">
        <v>49</v>
      </c>
      <c r="O46" t="s">
        <v>50</v>
      </c>
      <c r="P46" t="s">
        <v>51</v>
      </c>
      <c r="Q46" t="s">
        <v>52</v>
      </c>
      <c r="R46" t="s">
        <v>53</v>
      </c>
      <c r="S46" t="s">
        <v>54</v>
      </c>
      <c r="U46" t="s">
        <v>58</v>
      </c>
      <c r="V46" t="str">
        <f t="shared" si="8"/>
        <v>u</v>
      </c>
    </row>
    <row r="47" spans="1:22" x14ac:dyDescent="0.25">
      <c r="K47" t="s">
        <v>46</v>
      </c>
      <c r="L47">
        <v>3</v>
      </c>
      <c r="M47">
        <v>4</v>
      </c>
      <c r="N47">
        <v>5</v>
      </c>
      <c r="O47">
        <v>6</v>
      </c>
      <c r="P47">
        <v>7</v>
      </c>
      <c r="Q47">
        <v>8</v>
      </c>
      <c r="R47">
        <v>9</v>
      </c>
      <c r="S47">
        <v>2</v>
      </c>
      <c r="U47" t="s">
        <v>59</v>
      </c>
      <c r="V47">
        <f t="shared" si="8"/>
        <v>6</v>
      </c>
    </row>
    <row r="51" spans="9:23" x14ac:dyDescent="0.25">
      <c r="O51" t="s">
        <v>35</v>
      </c>
      <c r="P51" t="s">
        <v>36</v>
      </c>
      <c r="Q51" t="s">
        <v>37</v>
      </c>
      <c r="R51" t="s">
        <v>45</v>
      </c>
      <c r="S51" t="s">
        <v>57</v>
      </c>
      <c r="U51" t="s">
        <v>77</v>
      </c>
      <c r="V51" t="s">
        <v>78</v>
      </c>
      <c r="W51" t="s">
        <v>76</v>
      </c>
    </row>
    <row r="52" spans="9:23" x14ac:dyDescent="0.25">
      <c r="O52">
        <v>23</v>
      </c>
      <c r="P52" t="str">
        <f>HLOOKUP(O52,K43:S47,2)</f>
        <v>A</v>
      </c>
      <c r="U52">
        <v>2</v>
      </c>
      <c r="V52">
        <v>2</v>
      </c>
      <c r="W52" t="str">
        <f>INDEX(I55:L60,U52,V52)</f>
        <v>wqe</v>
      </c>
    </row>
    <row r="54" spans="9:23" x14ac:dyDescent="0.25">
      <c r="I54" t="s">
        <v>60</v>
      </c>
      <c r="J54" t="s">
        <v>67</v>
      </c>
      <c r="K54" t="s">
        <v>57</v>
      </c>
      <c r="L54" t="s">
        <v>74</v>
      </c>
      <c r="P54" t="s">
        <v>75</v>
      </c>
      <c r="Q54" t="s">
        <v>76</v>
      </c>
    </row>
    <row r="55" spans="9:23" x14ac:dyDescent="0.25">
      <c r="I55" t="s">
        <v>61</v>
      </c>
      <c r="J55" t="s">
        <v>68</v>
      </c>
      <c r="K55">
        <v>1</v>
      </c>
      <c r="L55">
        <v>12000</v>
      </c>
      <c r="P55">
        <v>2</v>
      </c>
      <c r="Q55" t="str">
        <f>INDEX(I55:L60,P55,1)</f>
        <v>chair</v>
      </c>
    </row>
    <row r="56" spans="9:23" x14ac:dyDescent="0.25">
      <c r="I56" t="s">
        <v>62</v>
      </c>
      <c r="J56" t="s">
        <v>69</v>
      </c>
      <c r="K56">
        <v>2</v>
      </c>
      <c r="L56">
        <v>1000</v>
      </c>
      <c r="P56">
        <v>4</v>
      </c>
      <c r="Q56" t="str">
        <f>INDEX(I55:L60,P56,1)</f>
        <v>charger</v>
      </c>
    </row>
    <row r="57" spans="9:23" x14ac:dyDescent="0.25">
      <c r="I57" t="s">
        <v>63</v>
      </c>
      <c r="J57" t="s">
        <v>70</v>
      </c>
      <c r="K57">
        <v>2</v>
      </c>
      <c r="L57">
        <v>1200</v>
      </c>
    </row>
    <row r="58" spans="9:23" x14ac:dyDescent="0.25">
      <c r="I58" t="s">
        <v>64</v>
      </c>
      <c r="J58" t="s">
        <v>71</v>
      </c>
      <c r="K58">
        <v>3</v>
      </c>
      <c r="L58">
        <v>1900</v>
      </c>
    </row>
    <row r="59" spans="9:23" x14ac:dyDescent="0.25">
      <c r="I59" t="s">
        <v>65</v>
      </c>
      <c r="J59" t="s">
        <v>72</v>
      </c>
      <c r="K59">
        <v>4</v>
      </c>
      <c r="L59">
        <v>2600</v>
      </c>
    </row>
    <row r="60" spans="9:23" x14ac:dyDescent="0.25">
      <c r="I60" t="s">
        <v>66</v>
      </c>
      <c r="J60" t="s">
        <v>73</v>
      </c>
      <c r="K60">
        <v>10</v>
      </c>
      <c r="L60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77C5-EF0C-47EA-A384-911A69D2A93D}">
  <dimension ref="A1:N11"/>
  <sheetViews>
    <sheetView workbookViewId="0">
      <selection sqref="A1:D7"/>
    </sheetView>
  </sheetViews>
  <sheetFormatPr defaultRowHeight="15" x14ac:dyDescent="0.25"/>
  <sheetData>
    <row r="1" spans="1:14" x14ac:dyDescent="0.25">
      <c r="A1" t="s">
        <v>60</v>
      </c>
      <c r="B1" t="s">
        <v>67</v>
      </c>
      <c r="C1" t="s">
        <v>57</v>
      </c>
      <c r="D1" t="s">
        <v>74</v>
      </c>
      <c r="I1" t="s">
        <v>60</v>
      </c>
      <c r="J1" t="s">
        <v>79</v>
      </c>
      <c r="M1" t="s">
        <v>60</v>
      </c>
      <c r="N1" t="s">
        <v>67</v>
      </c>
    </row>
    <row r="2" spans="1:14" x14ac:dyDescent="0.25">
      <c r="A2" t="s">
        <v>61</v>
      </c>
      <c r="B2" t="s">
        <v>68</v>
      </c>
      <c r="C2">
        <v>1</v>
      </c>
      <c r="D2">
        <v>12000</v>
      </c>
      <c r="I2" t="s">
        <v>62</v>
      </c>
      <c r="J2">
        <f>MATCH(I2,A2:A7,0)</f>
        <v>2</v>
      </c>
      <c r="M2" t="s">
        <v>64</v>
      </c>
      <c r="N2" t="str">
        <f>VLOOKUP(M2,A2:D7,2,0)</f>
        <v>qer</v>
      </c>
    </row>
    <row r="3" spans="1:14" x14ac:dyDescent="0.25">
      <c r="A3" t="s">
        <v>62</v>
      </c>
      <c r="B3" t="s">
        <v>69</v>
      </c>
      <c r="C3">
        <v>2</v>
      </c>
      <c r="D3">
        <v>1000</v>
      </c>
    </row>
    <row r="4" spans="1:14" x14ac:dyDescent="0.25">
      <c r="A4" t="s">
        <v>63</v>
      </c>
      <c r="B4" t="s">
        <v>70</v>
      </c>
      <c r="C4">
        <v>2</v>
      </c>
      <c r="D4">
        <v>1200</v>
      </c>
    </row>
    <row r="5" spans="1:14" x14ac:dyDescent="0.25">
      <c r="A5" t="s">
        <v>64</v>
      </c>
      <c r="B5" t="s">
        <v>71</v>
      </c>
      <c r="C5">
        <v>3</v>
      </c>
      <c r="D5">
        <v>1900</v>
      </c>
      <c r="I5" t="s">
        <v>60</v>
      </c>
      <c r="J5" t="s">
        <v>67</v>
      </c>
      <c r="K5" t="s">
        <v>57</v>
      </c>
      <c r="L5" t="s">
        <v>74</v>
      </c>
    </row>
    <row r="6" spans="1:14" x14ac:dyDescent="0.25">
      <c r="A6" t="s">
        <v>65</v>
      </c>
      <c r="B6" t="s">
        <v>72</v>
      </c>
      <c r="C6">
        <v>4</v>
      </c>
      <c r="D6">
        <v>2600</v>
      </c>
      <c r="I6" t="s">
        <v>62</v>
      </c>
      <c r="J6" t="str">
        <f>VLOOKUP($I$6,$A$2:$D$7,MATCH(J5,$A$1:$D$1,0),0)</f>
        <v>wqe</v>
      </c>
      <c r="K6">
        <f t="shared" ref="K6:L6" si="0">VLOOKUP($I$6,$A$2:$D$7,MATCH(K5,$A$1:$D$1,0),0)</f>
        <v>2</v>
      </c>
      <c r="L6">
        <f t="shared" si="0"/>
        <v>1000</v>
      </c>
    </row>
    <row r="7" spans="1:14" x14ac:dyDescent="0.25">
      <c r="A7" t="s">
        <v>66</v>
      </c>
      <c r="B7" t="s">
        <v>73</v>
      </c>
      <c r="C7">
        <v>10</v>
      </c>
      <c r="D7">
        <v>85</v>
      </c>
    </row>
    <row r="11" spans="1:14" x14ac:dyDescent="0.25">
      <c r="A1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CCCF-AE2C-4835-A227-ABF2FDC9DE48}">
  <dimension ref="A1:M14"/>
  <sheetViews>
    <sheetView tabSelected="1" zoomScale="136" zoomScaleNormal="178" workbookViewId="0">
      <selection activeCell="I11" sqref="I11"/>
    </sheetView>
  </sheetViews>
  <sheetFormatPr defaultRowHeight="15" x14ac:dyDescent="0.25"/>
  <sheetData>
    <row r="1" spans="1:13" x14ac:dyDescent="0.25">
      <c r="A1" t="s">
        <v>60</v>
      </c>
      <c r="B1" t="s">
        <v>67</v>
      </c>
      <c r="C1" t="s">
        <v>57</v>
      </c>
      <c r="D1" t="s">
        <v>74</v>
      </c>
    </row>
    <row r="2" spans="1:13" x14ac:dyDescent="0.25">
      <c r="A2" t="s">
        <v>61</v>
      </c>
      <c r="B2" t="s">
        <v>68</v>
      </c>
      <c r="C2">
        <v>1</v>
      </c>
      <c r="D2">
        <v>12000</v>
      </c>
    </row>
    <row r="3" spans="1:13" x14ac:dyDescent="0.25">
      <c r="A3" t="s">
        <v>62</v>
      </c>
      <c r="B3" t="s">
        <v>69</v>
      </c>
      <c r="C3">
        <v>2</v>
      </c>
      <c r="D3">
        <v>1000</v>
      </c>
    </row>
    <row r="4" spans="1:13" x14ac:dyDescent="0.25">
      <c r="A4" t="s">
        <v>63</v>
      </c>
      <c r="B4" t="s">
        <v>70</v>
      </c>
      <c r="C4">
        <v>2</v>
      </c>
      <c r="D4">
        <v>1200</v>
      </c>
    </row>
    <row r="5" spans="1:13" x14ac:dyDescent="0.25">
      <c r="A5" t="s">
        <v>64</v>
      </c>
      <c r="B5" t="s">
        <v>71</v>
      </c>
      <c r="C5">
        <v>3</v>
      </c>
      <c r="D5">
        <v>1900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</row>
    <row r="6" spans="1:13" x14ac:dyDescent="0.25">
      <c r="A6" t="s">
        <v>65</v>
      </c>
      <c r="B6" t="s">
        <v>72</v>
      </c>
      <c r="C6">
        <v>4</v>
      </c>
      <c r="D6">
        <v>2600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</row>
    <row r="7" spans="1:13" x14ac:dyDescent="0.25">
      <c r="A7" t="s">
        <v>66</v>
      </c>
      <c r="B7" t="s">
        <v>73</v>
      </c>
      <c r="C7">
        <v>10</v>
      </c>
      <c r="D7">
        <v>85</v>
      </c>
      <c r="G7" t="s">
        <v>57</v>
      </c>
      <c r="H7">
        <v>1</v>
      </c>
      <c r="I7">
        <v>2</v>
      </c>
      <c r="J7">
        <v>2</v>
      </c>
      <c r="K7">
        <v>3</v>
      </c>
      <c r="L7">
        <v>4</v>
      </c>
      <c r="M7">
        <v>10</v>
      </c>
    </row>
    <row r="8" spans="1:13" x14ac:dyDescent="0.25">
      <c r="G8" t="s">
        <v>74</v>
      </c>
      <c r="H8">
        <v>12000</v>
      </c>
      <c r="I8">
        <v>1000</v>
      </c>
      <c r="J8">
        <v>1200</v>
      </c>
      <c r="K8">
        <v>1900</v>
      </c>
      <c r="L8">
        <v>2600</v>
      </c>
      <c r="M8">
        <v>85</v>
      </c>
    </row>
    <row r="10" spans="1:13" x14ac:dyDescent="0.25">
      <c r="A10" t="s">
        <v>81</v>
      </c>
    </row>
    <row r="11" spans="1:13" x14ac:dyDescent="0.25">
      <c r="G11" t="s">
        <v>60</v>
      </c>
      <c r="H11" t="s">
        <v>65</v>
      </c>
      <c r="I11" t="s">
        <v>62</v>
      </c>
    </row>
    <row r="12" spans="1:13" x14ac:dyDescent="0.25">
      <c r="G12" t="s">
        <v>67</v>
      </c>
      <c r="H12" t="str">
        <f>HLOOKUP(H11,H5:M8,2,0)</f>
        <v>ewq</v>
      </c>
      <c r="I12" t="str">
        <f>HLOOKUP($I$11,$H$5:$M$8,MATCH(G6,$G$5:$G$8,0),0)</f>
        <v>wqe</v>
      </c>
    </row>
    <row r="13" spans="1:13" x14ac:dyDescent="0.25">
      <c r="G13" t="s">
        <v>57</v>
      </c>
      <c r="H13">
        <f t="shared" ref="H13:H14" si="0">HLOOKUP(H12,H6:M9,2,0)</f>
        <v>4</v>
      </c>
      <c r="I13">
        <f t="shared" ref="I13:I14" si="1">HLOOKUP($I$11,$H$5:$M$8,MATCH(G7,$G$5:$G$8,0),0)</f>
        <v>2</v>
      </c>
    </row>
    <row r="14" spans="1:13" x14ac:dyDescent="0.25">
      <c r="G14" t="s">
        <v>74</v>
      </c>
      <c r="H14">
        <f t="shared" si="0"/>
        <v>2600</v>
      </c>
      <c r="I14">
        <f t="shared" si="1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thakur</dc:creator>
  <cp:lastModifiedBy>abhiraj thakur</cp:lastModifiedBy>
  <dcterms:created xsi:type="dcterms:W3CDTF">2025-05-31T14:06:34Z</dcterms:created>
  <dcterms:modified xsi:type="dcterms:W3CDTF">2025-06-07T07:22:35Z</dcterms:modified>
</cp:coreProperties>
</file>