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0ca594b8d09233/Documents/"/>
    </mc:Choice>
  </mc:AlternateContent>
  <xr:revisionPtr revIDLastSave="10" documentId="8_{3F087077-AC38-472A-BA14-07BE3D27B6C1}" xr6:coauthVersionLast="47" xr6:coauthVersionMax="47" xr10:uidLastSave="{9A39701E-114E-4189-910E-55600AB7D46F}"/>
  <bookViews>
    <workbookView xWindow="-120" yWindow="-120" windowWidth="20730" windowHeight="11040" xr2:uid="{95993718-EF2C-4B93-8D5E-43DD7A1E9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E41" i="1"/>
  <c r="E42" i="1"/>
  <c r="E43" i="1"/>
  <c r="E44" i="1"/>
  <c r="F41" i="1"/>
  <c r="F42" i="1"/>
  <c r="F43" i="1"/>
  <c r="F44" i="1"/>
  <c r="F40" i="1"/>
  <c r="E40" i="1"/>
  <c r="H24" i="1"/>
  <c r="H25" i="1"/>
  <c r="H26" i="1"/>
  <c r="H27" i="1"/>
  <c r="H28" i="1"/>
  <c r="H23" i="1"/>
  <c r="G23" i="1"/>
  <c r="F24" i="1"/>
  <c r="F25" i="1"/>
  <c r="F26" i="1"/>
  <c r="F27" i="1"/>
  <c r="F28" i="1"/>
  <c r="F29" i="1"/>
  <c r="F30" i="1"/>
  <c r="F31" i="1"/>
  <c r="F23" i="1"/>
  <c r="E24" i="1"/>
  <c r="E25" i="1"/>
  <c r="E26" i="1"/>
  <c r="E27" i="1"/>
  <c r="E28" i="1"/>
  <c r="E29" i="1"/>
  <c r="E30" i="1"/>
  <c r="E31" i="1"/>
  <c r="E23" i="1"/>
  <c r="D24" i="1"/>
  <c r="D25" i="1"/>
  <c r="D26" i="1"/>
  <c r="D27" i="1"/>
  <c r="D28" i="1"/>
  <c r="D29" i="1"/>
  <c r="D30" i="1"/>
  <c r="D31" i="1"/>
  <c r="D23" i="1"/>
  <c r="M24" i="1"/>
  <c r="M25" i="1"/>
  <c r="M26" i="1"/>
  <c r="M27" i="1"/>
  <c r="M28" i="1"/>
  <c r="M29" i="1"/>
  <c r="M30" i="1"/>
  <c r="M31" i="1"/>
  <c r="M23" i="1"/>
  <c r="C20" i="1"/>
  <c r="O12" i="1"/>
  <c r="O13" i="1"/>
  <c r="O14" i="1"/>
  <c r="O15" i="1"/>
  <c r="O16" i="1"/>
  <c r="O17" i="1"/>
  <c r="O11" i="1"/>
  <c r="N12" i="1"/>
  <c r="N13" i="1"/>
  <c r="N14" i="1"/>
  <c r="N15" i="1"/>
  <c r="N16" i="1"/>
  <c r="N17" i="1"/>
  <c r="N11" i="1"/>
  <c r="Q4" i="1"/>
  <c r="P4" i="1"/>
  <c r="K4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<sst xmlns="http://schemas.openxmlformats.org/spreadsheetml/2006/main" count="77" uniqueCount="73">
  <si>
    <t>Name</t>
  </si>
  <si>
    <t>A</t>
  </si>
  <si>
    <t>B</t>
  </si>
  <si>
    <t>C</t>
  </si>
  <si>
    <t>D</t>
  </si>
  <si>
    <t>E</t>
  </si>
  <si>
    <t>Marks</t>
  </si>
  <si>
    <t>Attendance</t>
  </si>
  <si>
    <t>result</t>
  </si>
  <si>
    <t>good</t>
  </si>
  <si>
    <t>bad</t>
  </si>
  <si>
    <t>marks&gt;70 and attendance&gt;50</t>
  </si>
  <si>
    <t>50&lt;marks&lt;=70 and attendance&gt;50</t>
  </si>
  <si>
    <t>marks&lt;50 and attendance&lt;50</t>
  </si>
  <si>
    <t>very good</t>
  </si>
  <si>
    <t>marks1</t>
  </si>
  <si>
    <t>marks2</t>
  </si>
  <si>
    <t>marks3</t>
  </si>
  <si>
    <t>Data</t>
  </si>
  <si>
    <t>number</t>
  </si>
  <si>
    <t>if_error</t>
  </si>
  <si>
    <t>product name</t>
  </si>
  <si>
    <t>mobile</t>
  </si>
  <si>
    <t>chair</t>
  </si>
  <si>
    <t>table</t>
  </si>
  <si>
    <t>charger</t>
  </si>
  <si>
    <t>laptop</t>
  </si>
  <si>
    <t>headphone</t>
  </si>
  <si>
    <t>samsung</t>
  </si>
  <si>
    <t>unit price</t>
  </si>
  <si>
    <t>quantity</t>
  </si>
  <si>
    <t>total price</t>
  </si>
  <si>
    <t>selling price</t>
  </si>
  <si>
    <t>tax%</t>
  </si>
  <si>
    <t>formula</t>
  </si>
  <si>
    <t>sandeep</t>
  </si>
  <si>
    <t>suneel</t>
  </si>
  <si>
    <t xml:space="preserve">  jay</t>
  </si>
  <si>
    <t>ranjan</t>
  </si>
  <si>
    <t xml:space="preserve">  gulshan</t>
  </si>
  <si>
    <t>prateek</t>
  </si>
  <si>
    <t>ranu</t>
  </si>
  <si>
    <t>ducat</t>
  </si>
  <si>
    <t>ducCAT</t>
  </si>
  <si>
    <t>trim</t>
  </si>
  <si>
    <t>lower</t>
  </si>
  <si>
    <t>len</t>
  </si>
  <si>
    <t>left</t>
  </si>
  <si>
    <t>right</t>
  </si>
  <si>
    <t>concatinate</t>
  </si>
  <si>
    <t>`</t>
  </si>
  <si>
    <t>names</t>
  </si>
  <si>
    <t>abhiraj thakur</t>
  </si>
  <si>
    <t>abhishek</t>
  </si>
  <si>
    <t xml:space="preserve">arun </t>
  </si>
  <si>
    <t>guddu</t>
  </si>
  <si>
    <t>bitttu</t>
  </si>
  <si>
    <t>roll no</t>
  </si>
  <si>
    <t>find</t>
  </si>
  <si>
    <t>replace</t>
  </si>
  <si>
    <t>substitude</t>
  </si>
  <si>
    <t>Product</t>
  </si>
  <si>
    <t>Category</t>
  </si>
  <si>
    <t>Price (₹)</t>
  </si>
  <si>
    <t>Units Sold</t>
  </si>
  <si>
    <t>Apple</t>
  </si>
  <si>
    <t>Fruit</t>
  </si>
  <si>
    <t>Banana</t>
  </si>
  <si>
    <t>Carrot</t>
  </si>
  <si>
    <t>Vegetable</t>
  </si>
  <si>
    <t>Dates</t>
  </si>
  <si>
    <t>Dry Fruits</t>
  </si>
  <si>
    <t>Eggplant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</si>
</sst>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197E-76AE-4B74-B95B-2642E44FA434}">
  <dimension ref="A2:Q44"/>
  <sheetViews>
    <sheetView tabSelected="1" topLeftCell="A31" workbookViewId="0">
      <selection activeCell="G40" sqref="G40"/>
    </sheetView>
  </sheetViews>
  <sheetFormatPr defaultRowHeight="15" x14ac:dyDescent="0.25"/>
  <sheetData>
    <row r="2" spans="1:17" x14ac:dyDescent="0.25">
      <c r="A2" t="s">
        <v>0</v>
      </c>
      <c r="B2" t="s">
        <v>6</v>
      </c>
      <c r="C2" t="s">
        <v>7</v>
      </c>
      <c r="E2" t="s">
        <v>8</v>
      </c>
    </row>
    <row r="3" spans="1:17" x14ac:dyDescent="0.25">
      <c r="A3" t="s">
        <v>1</v>
      </c>
      <c r="B3">
        <v>59</v>
      </c>
      <c r="C3">
        <v>55</v>
      </c>
      <c r="E3" t="str">
        <f>IF(AND(B6&gt;70,C6&gt;50),"vg",IF(AND(B6&gt;50,C6&gt;50),"g","b"))</f>
        <v>g</v>
      </c>
      <c r="H3" t="s">
        <v>15</v>
      </c>
      <c r="I3" t="s">
        <v>16</v>
      </c>
      <c r="J3" t="s">
        <v>17</v>
      </c>
      <c r="N3" t="s">
        <v>18</v>
      </c>
      <c r="O3" t="s">
        <v>19</v>
      </c>
      <c r="Q3" t="s">
        <v>20</v>
      </c>
    </row>
    <row r="4" spans="1:17" x14ac:dyDescent="0.25">
      <c r="A4" t="s">
        <v>2</v>
      </c>
      <c r="B4">
        <v>55</v>
      </c>
      <c r="C4">
        <v>65</v>
      </c>
      <c r="E4" t="str">
        <f t="shared" ref="E4:E7" si="0">IF(AND(B7&gt;70,C7&gt;50),"vg",IF(AND(B7&gt;50,C7&gt;50),"g","b"))</f>
        <v>b</v>
      </c>
      <c r="H4">
        <v>10</v>
      </c>
      <c r="I4">
        <v>20</v>
      </c>
      <c r="J4">
        <v>30</v>
      </c>
      <c r="K4" t="b">
        <f>OR(J4&gt;I4,J4&gt;H4)</f>
        <v>1</v>
      </c>
      <c r="N4">
        <v>23</v>
      </c>
      <c r="O4">
        <v>34</v>
      </c>
      <c r="P4">
        <f>N4/O4</f>
        <v>0.67647058823529416</v>
      </c>
      <c r="Q4">
        <f>IFERROR(N4/O4,0)</f>
        <v>0.67647058823529416</v>
      </c>
    </row>
    <row r="5" spans="1:17" x14ac:dyDescent="0.25">
      <c r="A5" t="s">
        <v>3</v>
      </c>
      <c r="B5">
        <v>71</v>
      </c>
      <c r="C5">
        <v>51</v>
      </c>
      <c r="E5" t="str">
        <f t="shared" si="0"/>
        <v>b</v>
      </c>
      <c r="N5">
        <v>45</v>
      </c>
      <c r="O5">
        <v>12</v>
      </c>
    </row>
    <row r="6" spans="1:17" x14ac:dyDescent="0.25">
      <c r="A6" t="s">
        <v>4</v>
      </c>
      <c r="B6">
        <v>55</v>
      </c>
      <c r="C6">
        <v>51</v>
      </c>
      <c r="E6" t="str">
        <f t="shared" si="0"/>
        <v>b</v>
      </c>
    </row>
    <row r="7" spans="1:17" x14ac:dyDescent="0.25">
      <c r="A7" t="s">
        <v>5</v>
      </c>
      <c r="B7">
        <v>97</v>
      </c>
      <c r="C7">
        <v>3</v>
      </c>
      <c r="E7" t="str">
        <f t="shared" si="0"/>
        <v>b</v>
      </c>
    </row>
    <row r="10" spans="1:17" x14ac:dyDescent="0.25">
      <c r="J10" t="s">
        <v>21</v>
      </c>
      <c r="L10" t="s">
        <v>29</v>
      </c>
      <c r="M10" t="s">
        <v>30</v>
      </c>
      <c r="N10" t="s">
        <v>31</v>
      </c>
      <c r="O10" t="s">
        <v>32</v>
      </c>
      <c r="Q10" t="s">
        <v>33</v>
      </c>
    </row>
    <row r="11" spans="1:17" x14ac:dyDescent="0.25">
      <c r="A11" t="s">
        <v>11</v>
      </c>
      <c r="E11" t="s">
        <v>14</v>
      </c>
      <c r="J11" t="s">
        <v>22</v>
      </c>
      <c r="L11">
        <v>10000</v>
      </c>
      <c r="M11">
        <v>2</v>
      </c>
      <c r="N11">
        <f>L11*M11</f>
        <v>20000</v>
      </c>
      <c r="O11">
        <f>N11+N11*$Q$11</f>
        <v>380000</v>
      </c>
      <c r="Q11">
        <v>18</v>
      </c>
    </row>
    <row r="12" spans="1:17" x14ac:dyDescent="0.25">
      <c r="A12" t="s">
        <v>12</v>
      </c>
      <c r="E12" t="s">
        <v>9</v>
      </c>
      <c r="J12" t="s">
        <v>23</v>
      </c>
      <c r="L12">
        <v>2000</v>
      </c>
      <c r="M12">
        <v>3</v>
      </c>
      <c r="N12">
        <f t="shared" ref="N12:N17" si="1">L12*M12</f>
        <v>6000</v>
      </c>
      <c r="O12">
        <f t="shared" ref="O12:O17" si="2">N12+N12*$Q$11</f>
        <v>114000</v>
      </c>
    </row>
    <row r="13" spans="1:17" x14ac:dyDescent="0.25">
      <c r="A13" t="s">
        <v>13</v>
      </c>
      <c r="E13" t="s">
        <v>10</v>
      </c>
      <c r="J13" t="s">
        <v>24</v>
      </c>
      <c r="L13">
        <v>1500</v>
      </c>
      <c r="M13">
        <v>4</v>
      </c>
      <c r="N13">
        <f t="shared" si="1"/>
        <v>6000</v>
      </c>
      <c r="O13">
        <f t="shared" si="2"/>
        <v>114000</v>
      </c>
    </row>
    <row r="14" spans="1:17" x14ac:dyDescent="0.25">
      <c r="J14" t="s">
        <v>25</v>
      </c>
      <c r="L14">
        <v>1899</v>
      </c>
      <c r="M14">
        <v>5</v>
      </c>
      <c r="N14">
        <f t="shared" si="1"/>
        <v>9495</v>
      </c>
      <c r="O14">
        <f t="shared" si="2"/>
        <v>180405</v>
      </c>
    </row>
    <row r="15" spans="1:17" x14ac:dyDescent="0.25">
      <c r="J15" t="s">
        <v>26</v>
      </c>
      <c r="L15">
        <v>35000</v>
      </c>
      <c r="M15">
        <v>7</v>
      </c>
      <c r="N15">
        <f t="shared" si="1"/>
        <v>245000</v>
      </c>
      <c r="O15">
        <f t="shared" si="2"/>
        <v>4655000</v>
      </c>
    </row>
    <row r="16" spans="1:17" x14ac:dyDescent="0.25">
      <c r="J16" t="s">
        <v>27</v>
      </c>
      <c r="L16">
        <v>1200</v>
      </c>
      <c r="M16">
        <v>8</v>
      </c>
      <c r="N16">
        <f t="shared" si="1"/>
        <v>9600</v>
      </c>
      <c r="O16">
        <f t="shared" si="2"/>
        <v>182400</v>
      </c>
    </row>
    <row r="17" spans="1:15" x14ac:dyDescent="0.25">
      <c r="J17" t="s">
        <v>28</v>
      </c>
      <c r="L17">
        <v>80000</v>
      </c>
      <c r="M17">
        <v>9</v>
      </c>
      <c r="N17">
        <f t="shared" si="1"/>
        <v>720000</v>
      </c>
      <c r="O17">
        <f t="shared" si="2"/>
        <v>13680000</v>
      </c>
    </row>
    <row r="19" spans="1:15" x14ac:dyDescent="0.25">
      <c r="C19" t="s">
        <v>34</v>
      </c>
      <c r="D19" t="s">
        <v>8</v>
      </c>
    </row>
    <row r="20" spans="1:15" x14ac:dyDescent="0.25">
      <c r="C20">
        <f>8*2+9-8/4</f>
        <v>23</v>
      </c>
    </row>
    <row r="22" spans="1:15" x14ac:dyDescent="0.25">
      <c r="C22" t="s">
        <v>0</v>
      </c>
      <c r="D22" t="s">
        <v>44</v>
      </c>
      <c r="E22" t="s">
        <v>45</v>
      </c>
      <c r="F22" t="s">
        <v>46</v>
      </c>
      <c r="G22" t="s">
        <v>47</v>
      </c>
      <c r="H22" t="s">
        <v>48</v>
      </c>
      <c r="J22" t="s">
        <v>49</v>
      </c>
      <c r="L22" t="s">
        <v>58</v>
      </c>
      <c r="M22" t="s">
        <v>59</v>
      </c>
      <c r="N22" t="s">
        <v>60</v>
      </c>
    </row>
    <row r="23" spans="1:15" x14ac:dyDescent="0.25">
      <c r="C23" t="s">
        <v>35</v>
      </c>
      <c r="D23" t="str">
        <f>TRIM(C23)</f>
        <v>sandeep</v>
      </c>
      <c r="E23" t="str">
        <f>LOWER(C23)</f>
        <v>sandeep</v>
      </c>
      <c r="F23">
        <f>LEN(C23)</f>
        <v>7</v>
      </c>
      <c r="G23" t="str">
        <f>LEFT("sandeep", 3)</f>
        <v>san</v>
      </c>
      <c r="H23" t="e">
        <f ca="1">RIGTH("sandep",3)</f>
        <v>#NAME?</v>
      </c>
      <c r="M23" t="str">
        <f>REPLACE(C23,4,4,"a")</f>
        <v>sana</v>
      </c>
    </row>
    <row r="24" spans="1:15" x14ac:dyDescent="0.25">
      <c r="C24" t="s">
        <v>36</v>
      </c>
      <c r="D24" t="str">
        <f t="shared" ref="D24:D31" si="3">TRIM(C24)</f>
        <v>suneel</v>
      </c>
      <c r="E24" t="str">
        <f t="shared" ref="E24:E31" si="4">LOWER(C24)</f>
        <v>suneel</v>
      </c>
      <c r="F24">
        <f t="shared" ref="F24:F31" si="5">LEN(C24)</f>
        <v>6</v>
      </c>
      <c r="H24" t="e">
        <f t="shared" ref="H24:H28" ca="1" si="6">RIGTH("sandep",3)</f>
        <v>#NAME?</v>
      </c>
      <c r="K24" t="s">
        <v>50</v>
      </c>
      <c r="M24" t="str">
        <f t="shared" ref="M24:M31" si="7">REPLACE(C24,4,4,"a")</f>
        <v>suna</v>
      </c>
    </row>
    <row r="25" spans="1:15" x14ac:dyDescent="0.25">
      <c r="C25" t="s">
        <v>37</v>
      </c>
      <c r="D25" t="str">
        <f t="shared" si="3"/>
        <v>jay</v>
      </c>
      <c r="E25" t="str">
        <f t="shared" si="4"/>
        <v xml:space="preserve">  jay</v>
      </c>
      <c r="F25">
        <f t="shared" si="5"/>
        <v>5</v>
      </c>
      <c r="H25" t="e">
        <f t="shared" ca="1" si="6"/>
        <v>#NAME?</v>
      </c>
      <c r="M25" t="str">
        <f t="shared" si="7"/>
        <v xml:space="preserve">  ja</v>
      </c>
    </row>
    <row r="26" spans="1:15" x14ac:dyDescent="0.25">
      <c r="C26" t="s">
        <v>38</v>
      </c>
      <c r="D26" t="str">
        <f t="shared" si="3"/>
        <v>ranjan</v>
      </c>
      <c r="E26" t="str">
        <f t="shared" si="4"/>
        <v>ranjan</v>
      </c>
      <c r="F26">
        <f t="shared" si="5"/>
        <v>6</v>
      </c>
      <c r="H26" t="e">
        <f t="shared" ca="1" si="6"/>
        <v>#NAME?</v>
      </c>
      <c r="M26" t="str">
        <f t="shared" si="7"/>
        <v>rana</v>
      </c>
    </row>
    <row r="27" spans="1:15" x14ac:dyDescent="0.25">
      <c r="C27" t="s">
        <v>39</v>
      </c>
      <c r="D27" t="str">
        <f t="shared" si="3"/>
        <v>gulshan</v>
      </c>
      <c r="E27" t="str">
        <f t="shared" si="4"/>
        <v xml:space="preserve">  gulshan</v>
      </c>
      <c r="F27">
        <f t="shared" si="5"/>
        <v>9</v>
      </c>
      <c r="H27" t="e">
        <f t="shared" ca="1" si="6"/>
        <v>#NAME?</v>
      </c>
      <c r="M27" t="str">
        <f t="shared" si="7"/>
        <v xml:space="preserve">  gaan</v>
      </c>
    </row>
    <row r="28" spans="1:15" x14ac:dyDescent="0.25">
      <c r="C28" t="s">
        <v>40</v>
      </c>
      <c r="D28" t="str">
        <f t="shared" si="3"/>
        <v>prateek</v>
      </c>
      <c r="E28" t="str">
        <f t="shared" si="4"/>
        <v>prateek</v>
      </c>
      <c r="F28">
        <f t="shared" si="5"/>
        <v>7</v>
      </c>
      <c r="H28" t="e">
        <f t="shared" ca="1" si="6"/>
        <v>#NAME?</v>
      </c>
      <c r="M28" t="str">
        <f t="shared" si="7"/>
        <v>praa</v>
      </c>
    </row>
    <row r="29" spans="1:15" x14ac:dyDescent="0.25">
      <c r="C29" t="s">
        <v>41</v>
      </c>
      <c r="D29" t="str">
        <f t="shared" si="3"/>
        <v>ranu</v>
      </c>
      <c r="E29" t="str">
        <f t="shared" si="4"/>
        <v>ranu</v>
      </c>
      <c r="F29">
        <f t="shared" si="5"/>
        <v>4</v>
      </c>
      <c r="M29" t="str">
        <f t="shared" si="7"/>
        <v>rana</v>
      </c>
    </row>
    <row r="30" spans="1:15" x14ac:dyDescent="0.25">
      <c r="C30" t="s">
        <v>42</v>
      </c>
      <c r="D30" t="str">
        <f t="shared" si="3"/>
        <v>ducat</v>
      </c>
      <c r="E30" t="str">
        <f t="shared" si="4"/>
        <v>ducat</v>
      </c>
      <c r="F30">
        <f t="shared" si="5"/>
        <v>5</v>
      </c>
      <c r="M30" t="str">
        <f t="shared" si="7"/>
        <v>duca</v>
      </c>
    </row>
    <row r="31" spans="1:15" x14ac:dyDescent="0.25">
      <c r="C31" t="s">
        <v>43</v>
      </c>
      <c r="D31" t="str">
        <f t="shared" si="3"/>
        <v>ducCAT</v>
      </c>
      <c r="E31" t="str">
        <f t="shared" si="4"/>
        <v>duccat</v>
      </c>
      <c r="F31">
        <f t="shared" si="5"/>
        <v>6</v>
      </c>
      <c r="M31" t="str">
        <f t="shared" si="7"/>
        <v>duca</v>
      </c>
    </row>
    <row r="32" spans="1:15" x14ac:dyDescent="0.25">
      <c r="A32" t="s">
        <v>51</v>
      </c>
      <c r="C32" t="s">
        <v>57</v>
      </c>
    </row>
    <row r="33" spans="1:7" x14ac:dyDescent="0.25">
      <c r="A33" t="s">
        <v>52</v>
      </c>
      <c r="C33">
        <v>2</v>
      </c>
    </row>
    <row r="34" spans="1:7" x14ac:dyDescent="0.25">
      <c r="A34" t="s">
        <v>53</v>
      </c>
      <c r="C34">
        <v>3</v>
      </c>
    </row>
    <row r="35" spans="1:7" x14ac:dyDescent="0.25">
      <c r="A35" t="s">
        <v>54</v>
      </c>
      <c r="C35">
        <v>4</v>
      </c>
    </row>
    <row r="36" spans="1:7" x14ac:dyDescent="0.25">
      <c r="A36" t="s">
        <v>55</v>
      </c>
      <c r="C36">
        <v>5</v>
      </c>
    </row>
    <row r="37" spans="1:7" x14ac:dyDescent="0.25">
      <c r="A37" t="s">
        <v>56</v>
      </c>
      <c r="C37">
        <v>6</v>
      </c>
    </row>
    <row r="39" spans="1:7" ht="30" x14ac:dyDescent="0.25">
      <c r="A39" s="1" t="s">
        <v>61</v>
      </c>
      <c r="B39" s="1" t="s">
        <v>62</v>
      </c>
      <c r="C39" s="1" t="s">
        <v>63</v>
      </c>
      <c r="D39" s="1" t="s">
        <v>64</v>
      </c>
    </row>
    <row r="40" spans="1:7" x14ac:dyDescent="0.25">
      <c r="A40" s="2" t="s">
        <v>65</v>
      </c>
      <c r="B40" s="2" t="s">
        <v>66</v>
      </c>
      <c r="C40" s="2">
        <v>120</v>
      </c>
      <c r="D40" s="2">
        <v>150</v>
      </c>
      <c r="E40">
        <f>120 * 150</f>
        <v>18000</v>
      </c>
      <c r="F40">
        <f>AVERAGE(C40:C44)</f>
        <v>110</v>
      </c>
      <c r="G40" t="e">
        <f>VLOOKUP("Carrot", A2:B6, 2, FALSE)</f>
        <v>#N/A</v>
      </c>
    </row>
    <row r="41" spans="1:7" x14ac:dyDescent="0.25">
      <c r="A41" s="2" t="s">
        <v>67</v>
      </c>
      <c r="B41" s="2" t="s">
        <v>66</v>
      </c>
      <c r="C41" s="2">
        <v>60</v>
      </c>
      <c r="D41" s="2">
        <v>200</v>
      </c>
      <c r="E41">
        <f t="shared" ref="E41:E44" si="8">120 * 150</f>
        <v>18000</v>
      </c>
      <c r="F41">
        <f t="shared" ref="F41:F44" si="9">AVERAGE(C41:C45)</f>
        <v>107.5</v>
      </c>
    </row>
    <row r="42" spans="1:7" ht="30" x14ac:dyDescent="0.25">
      <c r="A42" s="2" t="s">
        <v>68</v>
      </c>
      <c r="B42" s="2" t="s">
        <v>69</v>
      </c>
      <c r="C42" s="2">
        <v>80</v>
      </c>
      <c r="D42" s="2">
        <v>180</v>
      </c>
      <c r="E42">
        <f t="shared" si="8"/>
        <v>18000</v>
      </c>
      <c r="F42">
        <f t="shared" si="9"/>
        <v>123.33333333333333</v>
      </c>
    </row>
    <row r="43" spans="1:7" ht="30" x14ac:dyDescent="0.25">
      <c r="A43" s="2" t="s">
        <v>70</v>
      </c>
      <c r="B43" s="2" t="s">
        <v>71</v>
      </c>
      <c r="C43" s="2">
        <v>200</v>
      </c>
      <c r="D43" s="2">
        <v>100</v>
      </c>
      <c r="E43">
        <f t="shared" si="8"/>
        <v>18000</v>
      </c>
      <c r="F43">
        <f t="shared" si="9"/>
        <v>145</v>
      </c>
    </row>
    <row r="44" spans="1:7" ht="30" x14ac:dyDescent="0.25">
      <c r="A44" s="2" t="s">
        <v>72</v>
      </c>
      <c r="B44" s="2" t="s">
        <v>69</v>
      </c>
      <c r="C44" s="2">
        <v>90</v>
      </c>
      <c r="D44" s="2">
        <v>120</v>
      </c>
      <c r="E44">
        <f t="shared" si="8"/>
        <v>18000</v>
      </c>
      <c r="F44">
        <f t="shared" si="9"/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thakur</dc:creator>
  <cp:lastModifiedBy>abhiraj thakur</cp:lastModifiedBy>
  <dcterms:created xsi:type="dcterms:W3CDTF">2025-05-29T13:26:01Z</dcterms:created>
  <dcterms:modified xsi:type="dcterms:W3CDTF">2025-06-02T15:00:53Z</dcterms:modified>
</cp:coreProperties>
</file>