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350ca594b8d09233/Documents/"/>
    </mc:Choice>
  </mc:AlternateContent>
  <xr:revisionPtr revIDLastSave="3" documentId="8_{28D4AB79-3D72-49F7-9487-F7BD182F433C}" xr6:coauthVersionLast="47" xr6:coauthVersionMax="47" xr10:uidLastSave="{F9FECAFA-9E54-470E-9E30-ED5C7CA7A29F}"/>
  <bookViews>
    <workbookView xWindow="-120" yWindow="-120" windowWidth="20730" windowHeight="11040" activeTab="3" xr2:uid="{9A6522B6-D40E-4A89-9E8D-BBAB722D19F3}"/>
  </bookViews>
  <sheets>
    <sheet name="Sheet1" sheetId="1" r:id="rId1"/>
    <sheet name="Sheet2" sheetId="2" r:id="rId2"/>
    <sheet name="Sheet3" sheetId="3" r:id="rId3"/>
    <sheet name="Sheet4" sheetId="4" r:id="rId4"/>
  </sheets>
  <definedNames>
    <definedName name="Slicer_PaymentMethod">#N/A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3" i="2" l="1"/>
  <c r="N3" i="2"/>
  <c r="R3" i="2"/>
  <c r="P3" i="2"/>
  <c r="M3" i="2"/>
  <c r="K3" i="2"/>
  <c r="I3" i="2"/>
  <c r="H3" i="2"/>
  <c r="G3" i="2"/>
</calcChain>
</file>

<file path=xl/sharedStrings.xml><?xml version="1.0" encoding="utf-8"?>
<sst xmlns="http://schemas.openxmlformats.org/spreadsheetml/2006/main" count="434" uniqueCount="88">
  <si>
    <t>UserID</t>
  </si>
  <si>
    <t>Age</t>
  </si>
  <si>
    <t>Gender</t>
  </si>
  <si>
    <t>Region</t>
  </si>
  <si>
    <t>SignupDate</t>
  </si>
  <si>
    <t>CourseName</t>
  </si>
  <si>
    <t>Category</t>
  </si>
  <si>
    <t>CoursePrice</t>
  </si>
  <si>
    <t>PurchaseDate</t>
  </si>
  <si>
    <t>DurationHours</t>
  </si>
  <si>
    <t>Rating</t>
  </si>
  <si>
    <t>IsCertificateIssued</t>
  </si>
  <si>
    <t>PaymentMethod</t>
  </si>
  <si>
    <t>IsActiveSubscription</t>
  </si>
  <si>
    <t>Other</t>
  </si>
  <si>
    <t>Asia</t>
  </si>
  <si>
    <t>UI/UX Design</t>
  </si>
  <si>
    <t>Design</t>
  </si>
  <si>
    <t>PayPal</t>
  </si>
  <si>
    <t>Africa</t>
  </si>
  <si>
    <t>Business Analytics</t>
  </si>
  <si>
    <t>Business</t>
  </si>
  <si>
    <t>Credit Card</t>
  </si>
  <si>
    <t>Startup Strategy</t>
  </si>
  <si>
    <t>Female</t>
  </si>
  <si>
    <t>Social Media Marketing</t>
  </si>
  <si>
    <t>Marketing</t>
  </si>
  <si>
    <t>Male</t>
  </si>
  <si>
    <t>South America</t>
  </si>
  <si>
    <t>Photoshop Basics</t>
  </si>
  <si>
    <t>Europe</t>
  </si>
  <si>
    <t>Python for Data Science</t>
  </si>
  <si>
    <t>Data Science</t>
  </si>
  <si>
    <t>UPI</t>
  </si>
  <si>
    <t>SEO Fundamentals</t>
  </si>
  <si>
    <t>Deep Learning Basics</t>
  </si>
  <si>
    <t>JavaScript Essentials</t>
  </si>
  <si>
    <t>Web Development</t>
  </si>
  <si>
    <t>Row Labels</t>
  </si>
  <si>
    <t>Grand Total</t>
  </si>
  <si>
    <t>Column Labels</t>
  </si>
  <si>
    <t>Average of CoursePrice</t>
  </si>
  <si>
    <t>Count of PaymentMethod</t>
  </si>
  <si>
    <t xml:space="preserve">name </t>
  </si>
  <si>
    <t>jan</t>
  </si>
  <si>
    <t>feb</t>
  </si>
  <si>
    <t>mar</t>
  </si>
  <si>
    <t>apr</t>
  </si>
  <si>
    <t>may</t>
  </si>
  <si>
    <t>aug</t>
  </si>
  <si>
    <t>sep</t>
  </si>
  <si>
    <t>oct</t>
  </si>
  <si>
    <t>nov</t>
  </si>
  <si>
    <t>dec</t>
  </si>
  <si>
    <t>salary</t>
  </si>
  <si>
    <t>gender</t>
  </si>
  <si>
    <t>m</t>
  </si>
  <si>
    <t>f</t>
  </si>
  <si>
    <t>count of name</t>
  </si>
  <si>
    <t>count of salary</t>
  </si>
  <si>
    <t>counta works on text data</t>
  </si>
  <si>
    <t>count not for text data</t>
  </si>
  <si>
    <t>DOB</t>
  </si>
  <si>
    <t>COUNT OF DOB</t>
  </si>
  <si>
    <t>count blanks</t>
  </si>
  <si>
    <t>july</t>
  </si>
  <si>
    <t>COUNT THE NUMBER OF MALES</t>
  </si>
  <si>
    <t>count salary&gt;50</t>
  </si>
  <si>
    <t>male salary&gt;50</t>
  </si>
  <si>
    <t>sumif</t>
  </si>
  <si>
    <t xml:space="preserve"> avg s &gt;50 and g=m</t>
  </si>
  <si>
    <t>data validation</t>
  </si>
  <si>
    <t>whole number</t>
  </si>
  <si>
    <t>text length</t>
  </si>
  <si>
    <t>date</t>
  </si>
  <si>
    <t>drop down list</t>
  </si>
  <si>
    <t>input message</t>
  </si>
  <si>
    <t>error message</t>
  </si>
  <si>
    <t>stop</t>
  </si>
  <si>
    <t>warning</t>
  </si>
  <si>
    <t>information</t>
  </si>
  <si>
    <t>whole num</t>
  </si>
  <si>
    <t>text len</t>
  </si>
  <si>
    <t>DATA</t>
  </si>
  <si>
    <t>BHOPAL</t>
  </si>
  <si>
    <t>GOA</t>
  </si>
  <si>
    <t>DELHI</t>
  </si>
  <si>
    <t>NOIDA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</si>
</sst>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00"/>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26</xdr:col>
      <xdr:colOff>425828</xdr:colOff>
      <xdr:row>2</xdr:row>
      <xdr:rowOff>52433</xdr:rowOff>
    </xdr:from>
    <xdr:to>
      <xdr:col>30</xdr:col>
      <xdr:colOff>43691</xdr:colOff>
      <xdr:row>15</xdr:row>
      <xdr:rowOff>126098</xdr:rowOff>
    </xdr:to>
    <mc:AlternateContent xmlns:mc="http://schemas.openxmlformats.org/markup-compatibility/2006" xmlns:a14="http://schemas.microsoft.com/office/drawing/2010/main">
      <mc:Choice Requires="a14">
        <xdr:graphicFrame macro="">
          <xdr:nvGraphicFramePr>
            <xdr:cNvPr id="3" name="PaymentMethod">
              <a:extLst>
                <a:ext uri="{FF2B5EF4-FFF2-40B4-BE49-F238E27FC236}">
                  <a16:creationId xmlns:a16="http://schemas.microsoft.com/office/drawing/2014/main" id="{C2E3E931-2B80-AD54-1F60-A1A1C3A56F1D}"/>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9596955" y="437838"/>
              <a:ext cx="2205580" cy="25787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18.80936284722" createdVersion="8" refreshedVersion="8" minRefreshableVersion="3" recordCount="59" xr:uid="{664553D2-7E1A-414A-A59F-401C32820944}">
  <cacheSource type="worksheet">
    <worksheetSource ref="A1:N60" sheet="Sheet1"/>
  </cacheSource>
  <cacheFields count="14">
    <cacheField name="UserID" numFmtId="0">
      <sharedItems containsMixedTypes="1" containsNumber="1" containsInteger="1" minValue="1" maxValue="43"/>
    </cacheField>
    <cacheField name="Age" numFmtId="0">
      <sharedItems containsMixedTypes="1" containsNumber="1" minValue="19" maxValue="57"/>
    </cacheField>
    <cacheField name="Gender" numFmtId="0">
      <sharedItems count="4">
        <s v="Other"/>
        <s v="Female"/>
        <s v="Male"/>
        <s v="Gender"/>
      </sharedItems>
    </cacheField>
    <cacheField name="Region" numFmtId="0">
      <sharedItems count="5">
        <s v="Asia"/>
        <s v="Africa"/>
        <s v="South America"/>
        <s v="Europe"/>
        <s v="Region"/>
      </sharedItems>
    </cacheField>
    <cacheField name="SignupDate" numFmtId="0">
      <sharedItems containsDate="1" containsMixedTypes="1" minDate="2022-01-24T00:00:00" maxDate="2024-05-15T00:00:00"/>
    </cacheField>
    <cacheField name="CourseName" numFmtId="0">
      <sharedItems count="10">
        <s v="UI/UX Design"/>
        <s v="Business Analytics"/>
        <s v="Startup Strategy"/>
        <s v="Social Media Marketing"/>
        <s v="Photoshop Basics"/>
        <s v="Python for Data Science"/>
        <s v="SEO Fundamentals"/>
        <s v="Deep Learning Basics"/>
        <s v="JavaScript Essentials"/>
        <s v="CourseName"/>
      </sharedItems>
    </cacheField>
    <cacheField name="Category" numFmtId="0">
      <sharedItems count="6">
        <s v="Design"/>
        <s v="Business"/>
        <s v="Marketing"/>
        <s v="Data Science"/>
        <s v="Web Development"/>
        <s v="Category"/>
      </sharedItems>
    </cacheField>
    <cacheField name="CoursePrice" numFmtId="0">
      <sharedItems containsMixedTypes="1" containsNumber="1" minValue="13.03" maxValue="195.01"/>
    </cacheField>
    <cacheField name="PurchaseDate" numFmtId="0">
      <sharedItems containsDate="1" containsMixedTypes="1" minDate="2022-02-22T00:00:00" maxDate="2024-09-28T00:00:00"/>
    </cacheField>
    <cacheField name="DurationHours" numFmtId="0">
      <sharedItems containsMixedTypes="1" containsNumber="1" minValue="6.6" maxValue="57.6338235294117"/>
    </cacheField>
    <cacheField name="Rating" numFmtId="0">
      <sharedItems containsMixedTypes="1" containsNumber="1" minValue="1" maxValue="4.5999999999999996"/>
    </cacheField>
    <cacheField name="IsCertificateIssued" numFmtId="0">
      <sharedItems/>
    </cacheField>
    <cacheField name="PaymentMethod" numFmtId="0">
      <sharedItems count="4">
        <s v="PayPal"/>
        <s v="Credit Card"/>
        <s v="UPI"/>
        <s v="PaymentMethod"/>
      </sharedItems>
    </cacheField>
    <cacheField name="IsActiveSubscription" numFmtId="0">
      <sharedItems/>
    </cacheField>
  </cacheFields>
  <extLst>
    <ext xmlns:x14="http://schemas.microsoft.com/office/spreadsheetml/2009/9/main" uri="{725AE2AE-9491-48be-B2B4-4EB974FC3084}">
      <x14:pivotCacheDefinition pivotCacheId="14541015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n v="1"/>
    <n v="56"/>
    <x v="0"/>
    <x v="0"/>
    <d v="2022-02-21T00:00:00"/>
    <x v="0"/>
    <x v="0"/>
    <n v="161.34"/>
    <d v="2022-08-14T00:00:00"/>
    <n v="8.1999999999999993"/>
    <n v="4.0999999999999996"/>
    <b v="1"/>
    <x v="0"/>
    <b v="1"/>
  </r>
  <r>
    <n v="2"/>
    <n v="38"/>
    <x v="0"/>
    <x v="1"/>
    <d v="2022-06-28T00:00:00"/>
    <x v="1"/>
    <x v="1"/>
    <n v="39.64"/>
    <d v="2022-08-27T00:00:00"/>
    <n v="7.1"/>
    <n v="1.2"/>
    <b v="1"/>
    <x v="1"/>
    <b v="1"/>
  </r>
  <r>
    <n v="3"/>
    <n v="41"/>
    <x v="0"/>
    <x v="1"/>
    <d v="2022-02-24T00:00:00"/>
    <x v="2"/>
    <x v="1"/>
    <n v="73.400000000000006"/>
    <d v="2022-07-25T00:00:00"/>
    <n v="6.6"/>
    <n v="3.6"/>
    <b v="0"/>
    <x v="1"/>
    <b v="0"/>
  </r>
  <r>
    <n v="4"/>
    <n v="19"/>
    <x v="1"/>
    <x v="0"/>
    <d v="2022-11-23T00:00:00"/>
    <x v="3"/>
    <x v="2"/>
    <n v="147.18"/>
    <d v="2022-12-20T00:00:00"/>
    <n v="37.6"/>
    <n v="1"/>
    <b v="1"/>
    <x v="1"/>
    <b v="0"/>
  </r>
  <r>
    <n v="5"/>
    <n v="38"/>
    <x v="2"/>
    <x v="2"/>
    <d v="2022-07-18T00:00:00"/>
    <x v="4"/>
    <x v="0"/>
    <n v="127.32"/>
    <d v="2022-12-03T00:00:00"/>
    <n v="24.9"/>
    <n v="1"/>
    <b v="1"/>
    <x v="0"/>
    <b v="0"/>
  </r>
  <r>
    <n v="6"/>
    <n v="42"/>
    <x v="2"/>
    <x v="2"/>
    <d v="2022-06-11T00:00:00"/>
    <x v="1"/>
    <x v="1"/>
    <n v="65.33"/>
    <d v="2022-06-23T00:00:00"/>
    <n v="24.9"/>
    <n v="1.6"/>
    <b v="1"/>
    <x v="0"/>
    <b v="1"/>
  </r>
  <r>
    <n v="7"/>
    <n v="45"/>
    <x v="0"/>
    <x v="3"/>
    <d v="2023-08-16T00:00:00"/>
    <x v="5"/>
    <x v="3"/>
    <n v="195.01"/>
    <d v="2024-01-26T00:00:00"/>
    <n v="10.1"/>
    <n v="1.4"/>
    <b v="0"/>
    <x v="2"/>
    <b v="0"/>
  </r>
  <r>
    <n v="8"/>
    <n v="20"/>
    <x v="1"/>
    <x v="3"/>
    <d v="2024-01-29T00:00:00"/>
    <x v="0"/>
    <x v="0"/>
    <n v="173.39"/>
    <d v="2024-06-14T00:00:00"/>
    <n v="27.5"/>
    <n v="2.8"/>
    <b v="1"/>
    <x v="0"/>
    <b v="1"/>
  </r>
  <r>
    <n v="9"/>
    <n v="35"/>
    <x v="0"/>
    <x v="3"/>
    <d v="2022-12-01T00:00:00"/>
    <x v="3"/>
    <x v="2"/>
    <n v="190.29"/>
    <d v="2022-12-16T00:00:00"/>
    <n v="38.700000000000003"/>
    <n v="4.2"/>
    <b v="1"/>
    <x v="0"/>
    <b v="0"/>
  </r>
  <r>
    <n v="10"/>
    <n v="26"/>
    <x v="2"/>
    <x v="0"/>
    <d v="2023-10-09T00:00:00"/>
    <x v="3"/>
    <x v="2"/>
    <n v="13.03"/>
    <d v="2023-12-03T00:00:00"/>
    <n v="10"/>
    <n v="2"/>
    <b v="1"/>
    <x v="0"/>
    <b v="0"/>
  </r>
  <r>
    <n v="11"/>
    <n v="24"/>
    <x v="0"/>
    <x v="2"/>
    <d v="2024-03-21T00:00:00"/>
    <x v="6"/>
    <x v="2"/>
    <n v="125.9"/>
    <d v="2024-08-18T00:00:00"/>
    <n v="33.5"/>
    <n v="1.7"/>
    <b v="1"/>
    <x v="1"/>
    <b v="0"/>
  </r>
  <r>
    <n v="12"/>
    <n v="34"/>
    <x v="1"/>
    <x v="1"/>
    <d v="2024-03-28T00:00:00"/>
    <x v="0"/>
    <x v="0"/>
    <n v="59.17"/>
    <d v="2024-04-26T00:00:00"/>
    <n v="26.8"/>
    <n v="2.2000000000000002"/>
    <b v="0"/>
    <x v="1"/>
    <b v="1"/>
  </r>
  <r>
    <n v="13"/>
    <n v="23"/>
    <x v="2"/>
    <x v="3"/>
    <d v="2024-05-14T00:00:00"/>
    <x v="2"/>
    <x v="1"/>
    <n v="49.51"/>
    <d v="2024-09-27T00:00:00"/>
    <n v="23.1"/>
    <n v="1.1000000000000001"/>
    <b v="0"/>
    <x v="0"/>
    <b v="0"/>
  </r>
  <r>
    <n v="14"/>
    <n v="35"/>
    <x v="1"/>
    <x v="1"/>
    <d v="2022-01-24T00:00:00"/>
    <x v="7"/>
    <x v="3"/>
    <n v="157.28"/>
    <d v="2022-02-22T00:00:00"/>
    <n v="37.6"/>
    <n v="4.5999999999999996"/>
    <b v="0"/>
    <x v="0"/>
    <b v="0"/>
  </r>
  <r>
    <n v="15"/>
    <n v="31"/>
    <x v="1"/>
    <x v="2"/>
    <d v="2022-11-20T00:00:00"/>
    <x v="6"/>
    <x v="2"/>
    <n v="148.18"/>
    <d v="2023-04-30T00:00:00"/>
    <n v="13.7"/>
    <n v="3.3"/>
    <b v="1"/>
    <x v="0"/>
    <b v="1"/>
  </r>
  <r>
    <n v="16"/>
    <n v="57"/>
    <x v="1"/>
    <x v="1"/>
    <d v="2023-02-12T00:00:00"/>
    <x v="8"/>
    <x v="4"/>
    <n v="170.46"/>
    <d v="2023-06-18T00:00:00"/>
    <n v="30.1"/>
    <n v="3.2"/>
    <b v="1"/>
    <x v="0"/>
    <b v="0"/>
  </r>
  <r>
    <s v="UserID"/>
    <s v="Age"/>
    <x v="3"/>
    <x v="4"/>
    <s v="SignupDate"/>
    <x v="9"/>
    <x v="5"/>
    <s v="CoursePrice"/>
    <s v="PurchaseDate"/>
    <s v="DurationHours"/>
    <s v="Rating"/>
    <s v="IsCertificateIssued"/>
    <x v="3"/>
    <b v="1"/>
  </r>
  <r>
    <n v="17"/>
    <n v="31.925000000000001"/>
    <x v="0"/>
    <x v="0"/>
    <d v="2022-02-21T00:00:00"/>
    <x v="0"/>
    <x v="0"/>
    <n v="129.62975"/>
    <d v="2022-08-14T00:00:00"/>
    <n v="31.175000000000001"/>
    <n v="2.91"/>
    <b v="1"/>
    <x v="0"/>
    <b v="1"/>
  </r>
  <r>
    <n v="18"/>
    <n v="31.533823529411801"/>
    <x v="0"/>
    <x v="1"/>
    <d v="2022-06-28T00:00:00"/>
    <x v="1"/>
    <x v="1"/>
    <n v="130.93597058823499"/>
    <d v="2022-08-27T00:00:00"/>
    <n v="32.192647058823503"/>
    <n v="2.9655882352941201"/>
    <b v="1"/>
    <x v="1"/>
    <b v="0"/>
  </r>
  <r>
    <n v="19"/>
    <n v="31.142647058823499"/>
    <x v="0"/>
    <x v="1"/>
    <d v="2022-02-24T00:00:00"/>
    <x v="2"/>
    <x v="1"/>
    <n v="132.24219117647101"/>
    <d v="2022-07-25T00:00:00"/>
    <n v="33.210294117647003"/>
    <n v="3.02117647058824"/>
    <b v="0"/>
    <x v="1"/>
    <b v="1"/>
  </r>
  <r>
    <n v="20"/>
    <n v="30.7514705882353"/>
    <x v="1"/>
    <x v="0"/>
    <d v="2022-11-23T00:00:00"/>
    <x v="3"/>
    <x v="2"/>
    <n v="133.548411764706"/>
    <d v="2022-12-20T00:00:00"/>
    <n v="34.227941176470601"/>
    <n v="3.07676470588236"/>
    <b v="1"/>
    <x v="1"/>
    <b v="1"/>
  </r>
  <r>
    <n v="21"/>
    <n v="30.360294117647101"/>
    <x v="2"/>
    <x v="2"/>
    <d v="2022-07-18T00:00:00"/>
    <x v="4"/>
    <x v="0"/>
    <n v="134.854632352941"/>
    <d v="2022-12-03T00:00:00"/>
    <n v="35.2455882352941"/>
    <n v="3.1323529411764701"/>
    <b v="1"/>
    <x v="0"/>
    <b v="0"/>
  </r>
  <r>
    <n v="22"/>
    <n v="29.969117647058798"/>
    <x v="2"/>
    <x v="2"/>
    <d v="2022-06-11T00:00:00"/>
    <x v="1"/>
    <x v="1"/>
    <n v="136.16085294117701"/>
    <d v="2022-06-23T00:00:00"/>
    <n v="36.263235294117599"/>
    <n v="3.1879411764705901"/>
    <b v="1"/>
    <x v="0"/>
    <b v="1"/>
  </r>
  <r>
    <s v="UserID"/>
    <s v="Age"/>
    <x v="3"/>
    <x v="4"/>
    <s v="SignupDate"/>
    <x v="9"/>
    <x v="5"/>
    <s v="CoursePrice"/>
    <s v="PurchaseDate"/>
    <s v="DurationHours"/>
    <s v="Rating"/>
    <s v="IsCertificateIssued"/>
    <x v="3"/>
    <b v="1"/>
  </r>
  <r>
    <n v="17"/>
    <n v="31.925000000000001"/>
    <x v="0"/>
    <x v="0"/>
    <d v="2022-02-21T00:00:00"/>
    <x v="0"/>
    <x v="0"/>
    <n v="129.62975"/>
    <d v="2022-08-14T00:00:00"/>
    <n v="31.175000000000001"/>
    <n v="2.91"/>
    <b v="1"/>
    <x v="0"/>
    <b v="1"/>
  </r>
  <r>
    <n v="18"/>
    <n v="31.533823529411801"/>
    <x v="0"/>
    <x v="1"/>
    <d v="2022-06-28T00:00:00"/>
    <x v="1"/>
    <x v="1"/>
    <n v="130.93597058823499"/>
    <d v="2022-08-27T00:00:00"/>
    <n v="32.192647058823503"/>
    <n v="2.9655882352941201"/>
    <b v="1"/>
    <x v="1"/>
    <b v="0"/>
  </r>
  <r>
    <n v="19"/>
    <n v="31.142647058823499"/>
    <x v="0"/>
    <x v="1"/>
    <d v="2022-02-24T00:00:00"/>
    <x v="2"/>
    <x v="1"/>
    <n v="132.24219117647101"/>
    <d v="2022-07-25T00:00:00"/>
    <n v="33.210294117647003"/>
    <n v="3.02117647058824"/>
    <b v="0"/>
    <x v="1"/>
    <b v="0"/>
  </r>
  <r>
    <n v="20"/>
    <n v="30.7514705882353"/>
    <x v="1"/>
    <x v="0"/>
    <d v="2022-11-23T00:00:00"/>
    <x v="3"/>
    <x v="2"/>
    <n v="133.548411764706"/>
    <d v="2022-12-20T00:00:00"/>
    <n v="34.227941176470601"/>
    <n v="3.07676470588236"/>
    <b v="1"/>
    <x v="1"/>
    <b v="1"/>
  </r>
  <r>
    <n v="21"/>
    <n v="30.360294117647101"/>
    <x v="2"/>
    <x v="2"/>
    <d v="2022-07-18T00:00:00"/>
    <x v="4"/>
    <x v="0"/>
    <n v="134.854632352941"/>
    <d v="2022-12-03T00:00:00"/>
    <n v="35.2455882352941"/>
    <n v="3.1323529411764701"/>
    <b v="1"/>
    <x v="0"/>
    <b v="1"/>
  </r>
  <r>
    <n v="22"/>
    <n v="29.969117647058798"/>
    <x v="2"/>
    <x v="2"/>
    <d v="2022-06-11T00:00:00"/>
    <x v="1"/>
    <x v="1"/>
    <n v="136.16085294117701"/>
    <d v="2022-06-23T00:00:00"/>
    <n v="36.263235294117599"/>
    <n v="3.1879411764705901"/>
    <b v="1"/>
    <x v="0"/>
    <b v="1"/>
  </r>
  <r>
    <n v="23"/>
    <n v="29.577941176470599"/>
    <x v="0"/>
    <x v="3"/>
    <d v="2023-08-16T00:00:00"/>
    <x v="5"/>
    <x v="3"/>
    <n v="137.467073529412"/>
    <d v="2024-01-26T00:00:00"/>
    <n v="37.280882352941099"/>
    <n v="3.24352941176471"/>
    <b v="0"/>
    <x v="2"/>
    <b v="0"/>
  </r>
  <r>
    <n v="24"/>
    <n v="29.1867647058824"/>
    <x v="1"/>
    <x v="3"/>
    <d v="2024-01-29T00:00:00"/>
    <x v="0"/>
    <x v="0"/>
    <n v="138.773294117647"/>
    <d v="2024-06-14T00:00:00"/>
    <n v="38.298529411764697"/>
    <n v="3.2991176470588299"/>
    <b v="1"/>
    <x v="0"/>
    <b v="1"/>
  </r>
  <r>
    <n v="25"/>
    <n v="28.795588235294101"/>
    <x v="0"/>
    <x v="3"/>
    <d v="2022-12-01T00:00:00"/>
    <x v="3"/>
    <x v="2"/>
    <n v="140.07951470588199"/>
    <d v="2022-12-16T00:00:00"/>
    <n v="39.316176470588204"/>
    <n v="3.3547058823529401"/>
    <b v="1"/>
    <x v="0"/>
    <b v="0"/>
  </r>
  <r>
    <n v="26"/>
    <n v="28.404411764705898"/>
    <x v="2"/>
    <x v="0"/>
    <d v="2023-10-09T00:00:00"/>
    <x v="3"/>
    <x v="2"/>
    <n v="141.38573529411801"/>
    <d v="2023-12-03T00:00:00"/>
    <n v="40.333823529411703"/>
    <n v="3.41029411764706"/>
    <b v="1"/>
    <x v="0"/>
    <b v="0"/>
  </r>
  <r>
    <n v="27"/>
    <n v="28.013235294117699"/>
    <x v="0"/>
    <x v="2"/>
    <d v="2024-03-21T00:00:00"/>
    <x v="6"/>
    <x v="2"/>
    <n v="142.691955882353"/>
    <d v="2024-08-18T00:00:00"/>
    <n v="41.351470588235301"/>
    <n v="3.46588235294118"/>
    <b v="1"/>
    <x v="1"/>
    <b v="1"/>
  </r>
  <r>
    <n v="28"/>
    <n v="27.6220588235294"/>
    <x v="1"/>
    <x v="1"/>
    <d v="2024-03-28T00:00:00"/>
    <x v="0"/>
    <x v="0"/>
    <n v="143.99817647058799"/>
    <d v="2024-04-26T00:00:00"/>
    <n v="42.3691176470588"/>
    <n v="3.5214705882352999"/>
    <b v="0"/>
    <x v="1"/>
    <b v="0"/>
  </r>
  <r>
    <n v="29"/>
    <n v="27.230882352941201"/>
    <x v="2"/>
    <x v="3"/>
    <d v="2024-05-14T00:00:00"/>
    <x v="2"/>
    <x v="1"/>
    <n v="145.30439705882401"/>
    <d v="2024-09-27T00:00:00"/>
    <n v="43.3867647058823"/>
    <n v="3.5770588235294101"/>
    <b v="0"/>
    <x v="0"/>
    <b v="0"/>
  </r>
  <r>
    <n v="30"/>
    <n v="26.839705882353002"/>
    <x v="1"/>
    <x v="1"/>
    <d v="2022-01-24T00:00:00"/>
    <x v="7"/>
    <x v="3"/>
    <n v="146.610617647059"/>
    <d v="2022-02-22T00:00:00"/>
    <n v="44.404411764705799"/>
    <n v="3.63264705882353"/>
    <b v="0"/>
    <x v="0"/>
    <b v="1"/>
  </r>
  <r>
    <n v="31"/>
    <n v="26.448529411764699"/>
    <x v="1"/>
    <x v="2"/>
    <d v="2022-11-20T00:00:00"/>
    <x v="6"/>
    <x v="2"/>
    <n v="147.91683823529399"/>
    <d v="2023-04-30T00:00:00"/>
    <n v="45.422058823529397"/>
    <n v="3.6882352941176499"/>
    <b v="1"/>
    <x v="0"/>
    <b v="1"/>
  </r>
  <r>
    <n v="32"/>
    <n v="26.0573529411765"/>
    <x v="1"/>
    <x v="1"/>
    <d v="2023-02-12T00:00:00"/>
    <x v="8"/>
    <x v="4"/>
    <n v="149.22305882352899"/>
    <d v="2023-06-18T00:00:00"/>
    <n v="46.439705882352897"/>
    <n v="3.7438235294117699"/>
    <b v="1"/>
    <x v="0"/>
    <b v="1"/>
  </r>
  <r>
    <s v="UserID"/>
    <s v="Age"/>
    <x v="3"/>
    <x v="4"/>
    <s v="SignupDate"/>
    <x v="9"/>
    <x v="5"/>
    <s v="CoursePrice"/>
    <s v="PurchaseDate"/>
    <s v="DurationHours"/>
    <s v="Rating"/>
    <s v="IsCertificateIssued"/>
    <x v="3"/>
    <b v="1"/>
  </r>
  <r>
    <n v="23"/>
    <n v="29.577941176470802"/>
    <x v="0"/>
    <x v="0"/>
    <d v="2022-02-21T00:00:00"/>
    <x v="0"/>
    <x v="0"/>
    <n v="137.46707352940999"/>
    <d v="2022-08-14T00:00:00"/>
    <n v="37.280882352940999"/>
    <n v="3.2435294117647202"/>
    <b v="1"/>
    <x v="0"/>
    <b v="1"/>
  </r>
  <r>
    <n v="24"/>
    <n v="29.186764705882599"/>
    <x v="0"/>
    <x v="1"/>
    <d v="2022-06-28T00:00:00"/>
    <x v="1"/>
    <x v="1"/>
    <n v="138.77329411764501"/>
    <d v="2022-08-27T00:00:00"/>
    <n v="38.298529411764498"/>
    <n v="3.2991176470588401"/>
    <b v="1"/>
    <x v="1"/>
    <b v="0"/>
  </r>
  <r>
    <n v="25"/>
    <n v="28.795588235294399"/>
    <x v="0"/>
    <x v="1"/>
    <d v="2022-02-24T00:00:00"/>
    <x v="2"/>
    <x v="1"/>
    <n v="140.07951470588"/>
    <d v="2022-07-25T00:00:00"/>
    <n v="39.316176470587997"/>
    <n v="3.3547058823529601"/>
    <b v="0"/>
    <x v="1"/>
    <b v="1"/>
  </r>
  <r>
    <n v="26"/>
    <n v="28.4044117647062"/>
    <x v="1"/>
    <x v="0"/>
    <d v="2022-11-23T00:00:00"/>
    <x v="3"/>
    <x v="2"/>
    <n v="141.38573529411499"/>
    <d v="2022-12-20T00:00:00"/>
    <n v="40.333823529411497"/>
    <n v="3.41029411764708"/>
    <b v="1"/>
    <x v="1"/>
    <b v="1"/>
  </r>
  <r>
    <n v="27"/>
    <n v="28.013235294118001"/>
    <x v="2"/>
    <x v="2"/>
    <d v="2022-07-18T00:00:00"/>
    <x v="4"/>
    <x v="0"/>
    <n v="142.69195588234999"/>
    <d v="2022-12-03T00:00:00"/>
    <n v="41.351470588235003"/>
    <n v="3.4658823529412"/>
    <b v="1"/>
    <x v="0"/>
    <b v="1"/>
  </r>
  <r>
    <n v="28"/>
    <n v="27.622058823529802"/>
    <x v="2"/>
    <x v="2"/>
    <d v="2022-06-11T00:00:00"/>
    <x v="1"/>
    <x v="1"/>
    <n v="143.99817647058501"/>
    <d v="2022-06-23T00:00:00"/>
    <n v="42.369117647058502"/>
    <n v="3.5214705882353199"/>
    <b v="1"/>
    <x v="0"/>
    <b v="0"/>
  </r>
  <r>
    <s v="UserID"/>
    <s v="Age"/>
    <x v="3"/>
    <x v="4"/>
    <s v="SignupDate"/>
    <x v="9"/>
    <x v="5"/>
    <s v="CoursePrice"/>
    <s v="PurchaseDate"/>
    <s v="DurationHours"/>
    <s v="Rating"/>
    <s v="IsCertificateIssued"/>
    <x v="3"/>
    <b v="0"/>
  </r>
  <r>
    <n v="33"/>
    <n v="25.666176470588301"/>
    <x v="0"/>
    <x v="0"/>
    <d v="2022-02-21T00:00:00"/>
    <x v="0"/>
    <x v="0"/>
    <n v="150.529279411765"/>
    <d v="2022-08-14T00:00:00"/>
    <n v="47.457352941176403"/>
    <n v="3.7994117647058898"/>
    <b v="1"/>
    <x v="0"/>
    <b v="0"/>
  </r>
  <r>
    <n v="34"/>
    <n v="25.274999999999999"/>
    <x v="0"/>
    <x v="1"/>
    <d v="2022-06-28T00:00:00"/>
    <x v="1"/>
    <x v="1"/>
    <n v="151.8355"/>
    <d v="2022-08-27T00:00:00"/>
    <n v="48.475000000000001"/>
    <n v="3.855"/>
    <b v="1"/>
    <x v="1"/>
    <b v="0"/>
  </r>
  <r>
    <n v="35"/>
    <n v="24.883823529411799"/>
    <x v="0"/>
    <x v="1"/>
    <d v="2022-02-24T00:00:00"/>
    <x v="2"/>
    <x v="1"/>
    <n v="153.14172058823499"/>
    <d v="2022-07-25T00:00:00"/>
    <n v="49.492647058823501"/>
    <n v="3.9105882352941199"/>
    <b v="0"/>
    <x v="1"/>
    <b v="0"/>
  </r>
  <r>
    <n v="36"/>
    <n v="24.4926470588236"/>
    <x v="1"/>
    <x v="0"/>
    <d v="2022-11-23T00:00:00"/>
    <x v="3"/>
    <x v="2"/>
    <n v="154.44794117647101"/>
    <d v="2022-12-20T00:00:00"/>
    <n v="50.510294117647"/>
    <n v="3.9661764705882399"/>
    <b v="1"/>
    <x v="1"/>
    <b v="1"/>
  </r>
  <r>
    <n v="37"/>
    <n v="24.101470588235301"/>
    <x v="2"/>
    <x v="2"/>
    <d v="2022-07-18T00:00:00"/>
    <x v="4"/>
    <x v="0"/>
    <n v="155.754161764706"/>
    <d v="2022-12-03T00:00:00"/>
    <n v="51.527941176470499"/>
    <n v="4.0217647058823598"/>
    <b v="1"/>
    <x v="0"/>
    <b v="1"/>
  </r>
  <r>
    <n v="38"/>
    <n v="23.710294117647098"/>
    <x v="2"/>
    <x v="2"/>
    <d v="2022-06-11T00:00:00"/>
    <x v="1"/>
    <x v="1"/>
    <n v="157.06038235294099"/>
    <d v="2022-06-23T00:00:00"/>
    <n v="52.545588235294098"/>
    <n v="4.0773529411764704"/>
    <b v="1"/>
    <x v="0"/>
    <b v="0"/>
  </r>
  <r>
    <n v="39"/>
    <n v="23.319117647058899"/>
    <x v="0"/>
    <x v="3"/>
    <d v="2023-08-16T00:00:00"/>
    <x v="5"/>
    <x v="3"/>
    <n v="158.36660294117601"/>
    <d v="2024-01-26T00:00:00"/>
    <n v="53.563235294117597"/>
    <n v="4.1329411764705899"/>
    <b v="0"/>
    <x v="2"/>
    <b v="0"/>
  </r>
  <r>
    <n v="40"/>
    <n v="22.9279411764706"/>
    <x v="1"/>
    <x v="3"/>
    <d v="2024-01-29T00:00:00"/>
    <x v="0"/>
    <x v="0"/>
    <n v="159.672823529412"/>
    <d v="2024-06-14T00:00:00"/>
    <n v="54.580882352941103"/>
    <n v="4.1885294117647103"/>
    <b v="1"/>
    <x v="0"/>
    <b v="0"/>
  </r>
  <r>
    <n v="41"/>
    <n v="22.536764705882401"/>
    <x v="0"/>
    <x v="3"/>
    <d v="2022-12-01T00:00:00"/>
    <x v="3"/>
    <x v="2"/>
    <n v="160.97904411764699"/>
    <d v="2022-12-16T00:00:00"/>
    <n v="55.598529411764702"/>
    <n v="4.2441176470588298"/>
    <b v="1"/>
    <x v="0"/>
    <b v="1"/>
  </r>
  <r>
    <n v="42"/>
    <n v="22.145588235294198"/>
    <x v="2"/>
    <x v="0"/>
    <d v="2023-10-09T00:00:00"/>
    <x v="3"/>
    <x v="2"/>
    <n v="162.28526470588201"/>
    <d v="2023-12-03T00:00:00"/>
    <n v="56.616176470588201"/>
    <n v="4.2997058823529404"/>
    <b v="1"/>
    <x v="0"/>
    <b v="0"/>
  </r>
  <r>
    <n v="43"/>
    <n v="21.7544117647059"/>
    <x v="0"/>
    <x v="2"/>
    <d v="2024-03-21T00:00:00"/>
    <x v="6"/>
    <x v="2"/>
    <n v="163.591485294118"/>
    <d v="2024-08-18T00:00:00"/>
    <n v="57.6338235294117"/>
    <n v="4.3552941176470599"/>
    <b v="1"/>
    <x v="1"/>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2BAF89-9A3E-4B60-97E8-AF9B4B1DB5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9" firstHeaderRow="1" firstDataRow="1" firstDataCol="1"/>
  <pivotFields count="14">
    <pivotField showAll="0"/>
    <pivotField showAll="0"/>
    <pivotField axis="axisRow" showAll="0">
      <items count="5">
        <item x="1"/>
        <item x="3"/>
        <item x="2"/>
        <item x="0"/>
        <item t="default"/>
      </items>
    </pivotField>
    <pivotField showAll="0"/>
    <pivotField showAll="0"/>
    <pivotField showAll="0">
      <items count="11">
        <item x="1"/>
        <item x="9"/>
        <item x="7"/>
        <item x="8"/>
        <item x="4"/>
        <item x="5"/>
        <item x="6"/>
        <item x="3"/>
        <item x="2"/>
        <item x="0"/>
        <item t="default"/>
      </items>
    </pivotField>
    <pivotField showAll="0"/>
    <pivotField showAll="0"/>
    <pivotField showAll="0"/>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Count of PaymentMethod" fld="12" subtotal="count" baseField="0" baseItem="0"/>
  </dataFields>
  <pivotTableStyleInfo name="PivotStyleLight14"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84045C-38A5-4A21-9D43-54CF9BCAAF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T4:Z24" firstHeaderRow="1" firstDataRow="2" firstDataCol="1"/>
  <pivotFields count="14">
    <pivotField showAll="0" defaultSubtotal="0"/>
    <pivotField showAll="0" defaultSubtotal="0"/>
    <pivotField axis="axisRow" showAll="0" defaultSubtotal="0">
      <items count="4">
        <item x="1"/>
        <item x="3"/>
        <item x="2"/>
        <item x="0"/>
      </items>
    </pivotField>
    <pivotField axis="axisCol" showAll="0" defaultSubtotal="0">
      <items count="5">
        <item x="1"/>
        <item x="0"/>
        <item x="3"/>
        <item x="4"/>
        <item x="2"/>
      </items>
    </pivotField>
    <pivotField showAll="0" defaultSubtotal="0"/>
    <pivotField showAll="0" defaultSubtotal="0"/>
    <pivotField axis="axisRow" showAll="0" defaultSubtotal="0">
      <items count="6">
        <item x="1"/>
        <item x="5"/>
        <item x="3"/>
        <item x="0"/>
        <item x="2"/>
        <item x="4"/>
      </items>
    </pivotField>
    <pivotField dataField="1" showAll="0" defaultSubtotal="0"/>
    <pivotField showAll="0" defaultSubtotal="0"/>
    <pivotField showAll="0" defaultSubtotal="0"/>
    <pivotField showAll="0" defaultSubtotal="0"/>
    <pivotField showAll="0" defaultSubtotal="0"/>
    <pivotField showAll="0" defaultSubtotal="0">
      <items count="4">
        <item x="1"/>
        <item x="3"/>
        <item x="0"/>
        <item x="2"/>
      </items>
    </pivotField>
    <pivotField showAll="0" defaultSubtotal="0"/>
  </pivotFields>
  <rowFields count="2">
    <field x="6"/>
    <field x="2"/>
  </rowFields>
  <rowItems count="19">
    <i>
      <x/>
    </i>
    <i r="1">
      <x v="2"/>
    </i>
    <i r="1">
      <x v="3"/>
    </i>
    <i>
      <x v="1"/>
    </i>
    <i r="1">
      <x v="1"/>
    </i>
    <i>
      <x v="2"/>
    </i>
    <i r="1">
      <x/>
    </i>
    <i r="1">
      <x v="3"/>
    </i>
    <i>
      <x v="3"/>
    </i>
    <i r="1">
      <x/>
    </i>
    <i r="1">
      <x v="2"/>
    </i>
    <i r="1">
      <x v="3"/>
    </i>
    <i>
      <x v="4"/>
    </i>
    <i r="1">
      <x/>
    </i>
    <i r="1">
      <x v="2"/>
    </i>
    <i r="1">
      <x v="3"/>
    </i>
    <i>
      <x v="5"/>
    </i>
    <i r="1">
      <x/>
    </i>
    <i t="grand">
      <x/>
    </i>
  </rowItems>
  <colFields count="1">
    <field x="3"/>
  </colFields>
  <colItems count="6">
    <i>
      <x/>
    </i>
    <i>
      <x v="1"/>
    </i>
    <i>
      <x v="2"/>
    </i>
    <i>
      <x v="3"/>
    </i>
    <i>
      <x v="4"/>
    </i>
    <i t="grand">
      <x/>
    </i>
  </colItems>
  <dataFields count="1">
    <dataField name="Average of CoursePrice" fld="7" subtotal="average" baseField="6" baseItem="0" numFmtId="164"/>
  </dataFields>
  <pivotTableStyleInfo name="PivotStyleLight16"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E812EE00-B311-4808-A4A4-4AD3CB306880}" sourceName="PaymentMethod">
  <pivotTables>
    <pivotTable tabId="1" name="PivotTable2"/>
  </pivotTables>
  <data>
    <tabular pivotCacheId="1454101501">
      <items count="4">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Method" xr10:uid="{4F9D9A94-DB6B-437C-9F93-0A9C6A420596}" cache="Slicer_PaymentMethod" caption="PaymentMetho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D8249-8BDE-4F01-9F2A-97ECA741C2FC}">
  <dimension ref="A1:Z60"/>
  <sheetViews>
    <sheetView topLeftCell="V1" zoomScale="86" zoomScaleNormal="55" workbookViewId="0">
      <selection activeCell="AH4" sqref="AH4"/>
    </sheetView>
  </sheetViews>
  <sheetFormatPr defaultRowHeight="15" x14ac:dyDescent="0.25"/>
  <cols>
    <col min="5" max="5" width="12.140625" customWidth="1"/>
    <col min="9" max="9" width="13" customWidth="1"/>
    <col min="17" max="17" width="13.140625" bestFit="1" customWidth="1"/>
    <col min="18" max="18" width="24.7109375" bestFit="1" customWidth="1"/>
    <col min="20" max="20" width="22" bestFit="1" customWidth="1"/>
    <col min="21" max="21" width="16.28515625" bestFit="1" customWidth="1"/>
    <col min="22" max="24" width="7.7109375" bestFit="1" customWidth="1"/>
    <col min="25" max="25" width="14.28515625" bestFit="1" customWidth="1"/>
    <col min="26" max="26" width="11.5703125" bestFit="1" customWidth="1"/>
    <col min="27" max="27" width="11.2851562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row>
    <row r="2" spans="1:26" x14ac:dyDescent="0.25">
      <c r="A2">
        <v>1</v>
      </c>
      <c r="B2">
        <v>56</v>
      </c>
      <c r="C2" t="s">
        <v>14</v>
      </c>
      <c r="D2" t="s">
        <v>15</v>
      </c>
      <c r="E2" s="1">
        <v>44613</v>
      </c>
      <c r="F2" t="s">
        <v>16</v>
      </c>
      <c r="G2" t="s">
        <v>17</v>
      </c>
      <c r="H2">
        <v>161.34</v>
      </c>
      <c r="I2" s="1">
        <v>44787</v>
      </c>
      <c r="J2">
        <v>8.1999999999999993</v>
      </c>
      <c r="K2">
        <v>4.0999999999999996</v>
      </c>
      <c r="L2" t="b">
        <v>1</v>
      </c>
      <c r="M2" t="s">
        <v>18</v>
      </c>
      <c r="N2" t="b">
        <v>1</v>
      </c>
    </row>
    <row r="3" spans="1:26" x14ac:dyDescent="0.25">
      <c r="A3">
        <v>2</v>
      </c>
      <c r="B3">
        <v>38</v>
      </c>
      <c r="C3" t="s">
        <v>14</v>
      </c>
      <c r="D3" t="s">
        <v>19</v>
      </c>
      <c r="E3" s="1">
        <v>44740</v>
      </c>
      <c r="F3" t="s">
        <v>20</v>
      </c>
      <c r="G3" t="s">
        <v>21</v>
      </c>
      <c r="H3">
        <v>39.64</v>
      </c>
      <c r="I3" s="1">
        <v>44800</v>
      </c>
      <c r="J3">
        <v>7.1</v>
      </c>
      <c r="K3">
        <v>1.2</v>
      </c>
      <c r="L3" t="b">
        <v>1</v>
      </c>
      <c r="M3" t="s">
        <v>22</v>
      </c>
      <c r="N3" t="b">
        <v>1</v>
      </c>
    </row>
    <row r="4" spans="1:26" x14ac:dyDescent="0.25">
      <c r="A4">
        <v>3</v>
      </c>
      <c r="B4">
        <v>41</v>
      </c>
      <c r="C4" t="s">
        <v>14</v>
      </c>
      <c r="D4" t="s">
        <v>19</v>
      </c>
      <c r="E4" s="1">
        <v>44616</v>
      </c>
      <c r="F4" t="s">
        <v>23</v>
      </c>
      <c r="G4" t="s">
        <v>21</v>
      </c>
      <c r="H4">
        <v>73.400000000000006</v>
      </c>
      <c r="I4" s="1">
        <v>44767</v>
      </c>
      <c r="J4">
        <v>6.6</v>
      </c>
      <c r="K4">
        <v>3.6</v>
      </c>
      <c r="L4" t="b">
        <v>0</v>
      </c>
      <c r="M4" t="s">
        <v>22</v>
      </c>
      <c r="N4" t="b">
        <v>0</v>
      </c>
      <c r="Q4" s="2" t="s">
        <v>38</v>
      </c>
      <c r="R4" t="s">
        <v>42</v>
      </c>
      <c r="T4" s="2" t="s">
        <v>41</v>
      </c>
      <c r="U4" s="2" t="s">
        <v>40</v>
      </c>
    </row>
    <row r="5" spans="1:26" x14ac:dyDescent="0.25">
      <c r="A5">
        <v>4</v>
      </c>
      <c r="B5">
        <v>19</v>
      </c>
      <c r="C5" t="s">
        <v>24</v>
      </c>
      <c r="D5" t="s">
        <v>15</v>
      </c>
      <c r="E5" s="1">
        <v>44888</v>
      </c>
      <c r="F5" t="s">
        <v>25</v>
      </c>
      <c r="G5" t="s">
        <v>26</v>
      </c>
      <c r="H5">
        <v>147.18</v>
      </c>
      <c r="I5" s="1">
        <v>44915</v>
      </c>
      <c r="J5">
        <v>37.6</v>
      </c>
      <c r="K5">
        <v>1</v>
      </c>
      <c r="L5" t="b">
        <v>1</v>
      </c>
      <c r="M5" t="s">
        <v>22</v>
      </c>
      <c r="N5" t="b">
        <v>0</v>
      </c>
      <c r="Q5" s="3" t="s">
        <v>24</v>
      </c>
      <c r="R5">
        <v>16</v>
      </c>
      <c r="T5" s="2" t="s">
        <v>38</v>
      </c>
      <c r="U5" t="s">
        <v>19</v>
      </c>
      <c r="V5" t="s">
        <v>15</v>
      </c>
      <c r="W5" t="s">
        <v>30</v>
      </c>
      <c r="X5" t="s">
        <v>3</v>
      </c>
      <c r="Y5" t="s">
        <v>28</v>
      </c>
      <c r="Z5" t="s">
        <v>39</v>
      </c>
    </row>
    <row r="6" spans="1:26" x14ac:dyDescent="0.25">
      <c r="A6">
        <v>5</v>
      </c>
      <c r="B6">
        <v>38</v>
      </c>
      <c r="C6" t="s">
        <v>27</v>
      </c>
      <c r="D6" t="s">
        <v>28</v>
      </c>
      <c r="E6" s="1">
        <v>44760</v>
      </c>
      <c r="F6" t="s">
        <v>29</v>
      </c>
      <c r="G6" t="s">
        <v>17</v>
      </c>
      <c r="H6">
        <v>127.32</v>
      </c>
      <c r="I6" s="1">
        <v>44898</v>
      </c>
      <c r="J6">
        <v>24.9</v>
      </c>
      <c r="K6">
        <v>1</v>
      </c>
      <c r="L6" t="b">
        <v>1</v>
      </c>
      <c r="M6" t="s">
        <v>18</v>
      </c>
      <c r="N6" t="b">
        <v>0</v>
      </c>
      <c r="Q6" s="3" t="s">
        <v>2</v>
      </c>
      <c r="R6">
        <v>4</v>
      </c>
      <c r="T6" s="3" t="s">
        <v>21</v>
      </c>
      <c r="U6" s="5"/>
      <c r="V6" s="5"/>
      <c r="W6" s="5"/>
      <c r="X6" s="5"/>
      <c r="Y6" s="5"/>
      <c r="Z6" s="5"/>
    </row>
    <row r="7" spans="1:26" x14ac:dyDescent="0.25">
      <c r="A7">
        <v>6</v>
      </c>
      <c r="B7">
        <v>42</v>
      </c>
      <c r="C7" t="s">
        <v>27</v>
      </c>
      <c r="D7" t="s">
        <v>28</v>
      </c>
      <c r="E7" s="1">
        <v>44723</v>
      </c>
      <c r="F7" t="s">
        <v>20</v>
      </c>
      <c r="G7" t="s">
        <v>21</v>
      </c>
      <c r="H7">
        <v>65.33</v>
      </c>
      <c r="I7" s="1">
        <v>44735</v>
      </c>
      <c r="J7">
        <v>24.9</v>
      </c>
      <c r="K7">
        <v>1.6</v>
      </c>
      <c r="L7" t="b">
        <v>1</v>
      </c>
      <c r="M7" t="s">
        <v>18</v>
      </c>
      <c r="N7" t="b">
        <v>1</v>
      </c>
      <c r="Q7" s="3" t="s">
        <v>27</v>
      </c>
      <c r="R7">
        <v>15</v>
      </c>
      <c r="T7" s="4" t="s">
        <v>27</v>
      </c>
      <c r="U7" s="5"/>
      <c r="V7" s="5"/>
      <c r="W7" s="5">
        <v>97.407198529412</v>
      </c>
      <c r="X7" s="5"/>
      <c r="Y7" s="5">
        <v>127.74205294117601</v>
      </c>
      <c r="Z7" s="5">
        <v>119.07495168067202</v>
      </c>
    </row>
    <row r="8" spans="1:26" x14ac:dyDescent="0.25">
      <c r="A8">
        <v>7</v>
      </c>
      <c r="B8">
        <v>45</v>
      </c>
      <c r="C8" t="s">
        <v>14</v>
      </c>
      <c r="D8" t="s">
        <v>30</v>
      </c>
      <c r="E8" s="1">
        <v>45154</v>
      </c>
      <c r="F8" t="s">
        <v>31</v>
      </c>
      <c r="G8" t="s">
        <v>32</v>
      </c>
      <c r="H8">
        <v>195.01</v>
      </c>
      <c r="I8" s="1">
        <v>45317</v>
      </c>
      <c r="J8">
        <v>10.1</v>
      </c>
      <c r="K8">
        <v>1.4</v>
      </c>
      <c r="L8" t="b">
        <v>0</v>
      </c>
      <c r="M8" t="s">
        <v>33</v>
      </c>
      <c r="N8" t="b">
        <v>0</v>
      </c>
      <c r="Q8" s="3" t="s">
        <v>14</v>
      </c>
      <c r="R8">
        <v>24</v>
      </c>
      <c r="T8" s="4" t="s">
        <v>14</v>
      </c>
      <c r="U8" s="5">
        <v>122.32263529411721</v>
      </c>
      <c r="V8" s="5"/>
      <c r="W8" s="5"/>
      <c r="X8" s="5"/>
      <c r="Y8" s="5"/>
      <c r="Z8" s="5">
        <v>122.32263529411721</v>
      </c>
    </row>
    <row r="9" spans="1:26" x14ac:dyDescent="0.25">
      <c r="A9">
        <v>8</v>
      </c>
      <c r="B9">
        <v>20</v>
      </c>
      <c r="C9" t="s">
        <v>24</v>
      </c>
      <c r="D9" t="s">
        <v>30</v>
      </c>
      <c r="E9" s="1">
        <v>45320</v>
      </c>
      <c r="F9" t="s">
        <v>16</v>
      </c>
      <c r="G9" t="s">
        <v>17</v>
      </c>
      <c r="H9">
        <v>173.39</v>
      </c>
      <c r="I9" s="1">
        <v>45457</v>
      </c>
      <c r="J9">
        <v>27.5</v>
      </c>
      <c r="K9">
        <v>2.8</v>
      </c>
      <c r="L9" t="b">
        <v>1</v>
      </c>
      <c r="M9" t="s">
        <v>18</v>
      </c>
      <c r="N9" t="b">
        <v>1</v>
      </c>
      <c r="Q9" s="3" t="s">
        <v>39</v>
      </c>
      <c r="R9">
        <v>59</v>
      </c>
      <c r="T9" s="3" t="s">
        <v>6</v>
      </c>
      <c r="U9" s="5"/>
      <c r="V9" s="5"/>
      <c r="W9" s="5"/>
      <c r="X9" s="5"/>
      <c r="Y9" s="5"/>
      <c r="Z9" s="5"/>
    </row>
    <row r="10" spans="1:26" x14ac:dyDescent="0.25">
      <c r="A10">
        <v>9</v>
      </c>
      <c r="B10">
        <v>35</v>
      </c>
      <c r="C10" t="s">
        <v>14</v>
      </c>
      <c r="D10" t="s">
        <v>30</v>
      </c>
      <c r="E10" s="1">
        <v>44896</v>
      </c>
      <c r="F10" t="s">
        <v>25</v>
      </c>
      <c r="G10" t="s">
        <v>26</v>
      </c>
      <c r="H10">
        <v>190.29</v>
      </c>
      <c r="I10" s="1">
        <v>44911</v>
      </c>
      <c r="J10">
        <v>38.700000000000003</v>
      </c>
      <c r="K10">
        <v>4.2</v>
      </c>
      <c r="L10" t="b">
        <v>1</v>
      </c>
      <c r="M10" t="s">
        <v>18</v>
      </c>
      <c r="N10" t="b">
        <v>0</v>
      </c>
      <c r="T10" s="4" t="s">
        <v>2</v>
      </c>
      <c r="U10" s="5"/>
      <c r="V10" s="5"/>
      <c r="W10" s="5"/>
      <c r="X10" s="5" t="e">
        <v>#DIV/0!</v>
      </c>
      <c r="Y10" s="5"/>
      <c r="Z10" s="5" t="e">
        <v>#DIV/0!</v>
      </c>
    </row>
    <row r="11" spans="1:26" x14ac:dyDescent="0.25">
      <c r="A11">
        <v>10</v>
      </c>
      <c r="B11">
        <v>26</v>
      </c>
      <c r="C11" t="s">
        <v>27</v>
      </c>
      <c r="D11" t="s">
        <v>15</v>
      </c>
      <c r="E11" s="1">
        <v>45208</v>
      </c>
      <c r="F11" t="s">
        <v>25</v>
      </c>
      <c r="G11" t="s">
        <v>26</v>
      </c>
      <c r="H11">
        <v>13.03</v>
      </c>
      <c r="I11" s="1">
        <v>45263</v>
      </c>
      <c r="J11">
        <v>10</v>
      </c>
      <c r="K11">
        <v>2</v>
      </c>
      <c r="L11" t="b">
        <v>1</v>
      </c>
      <c r="M11" t="s">
        <v>18</v>
      </c>
      <c r="N11" t="b">
        <v>0</v>
      </c>
      <c r="T11" s="3" t="s">
        <v>32</v>
      </c>
      <c r="U11" s="5"/>
      <c r="V11" s="5"/>
      <c r="W11" s="5"/>
      <c r="X11" s="5"/>
      <c r="Y11" s="5"/>
      <c r="Z11" s="5"/>
    </row>
    <row r="12" spans="1:26" x14ac:dyDescent="0.25">
      <c r="A12">
        <v>11</v>
      </c>
      <c r="B12">
        <v>24</v>
      </c>
      <c r="C12" t="s">
        <v>14</v>
      </c>
      <c r="D12" t="s">
        <v>28</v>
      </c>
      <c r="E12" s="1">
        <v>45372</v>
      </c>
      <c r="F12" t="s">
        <v>34</v>
      </c>
      <c r="G12" t="s">
        <v>26</v>
      </c>
      <c r="H12">
        <v>125.9</v>
      </c>
      <c r="I12" s="1">
        <v>45522</v>
      </c>
      <c r="J12">
        <v>33.5</v>
      </c>
      <c r="K12">
        <v>1.7</v>
      </c>
      <c r="L12" t="b">
        <v>1</v>
      </c>
      <c r="M12" t="s">
        <v>22</v>
      </c>
      <c r="N12" t="b">
        <v>0</v>
      </c>
      <c r="T12" s="4" t="s">
        <v>24</v>
      </c>
      <c r="U12" s="5">
        <v>151.9453088235295</v>
      </c>
      <c r="V12" s="5"/>
      <c r="W12" s="5"/>
      <c r="X12" s="5"/>
      <c r="Y12" s="5"/>
      <c r="Z12" s="5">
        <v>151.9453088235295</v>
      </c>
    </row>
    <row r="13" spans="1:26" x14ac:dyDescent="0.25">
      <c r="A13">
        <v>12</v>
      </c>
      <c r="B13">
        <v>34</v>
      </c>
      <c r="C13" t="s">
        <v>24</v>
      </c>
      <c r="D13" t="s">
        <v>19</v>
      </c>
      <c r="E13" s="1">
        <v>45379</v>
      </c>
      <c r="F13" t="s">
        <v>16</v>
      </c>
      <c r="G13" t="s">
        <v>17</v>
      </c>
      <c r="H13">
        <v>59.17</v>
      </c>
      <c r="I13" s="1">
        <v>45408</v>
      </c>
      <c r="J13">
        <v>26.8</v>
      </c>
      <c r="K13">
        <v>2.2000000000000002</v>
      </c>
      <c r="L13" t="b">
        <v>0</v>
      </c>
      <c r="M13" t="s">
        <v>22</v>
      </c>
      <c r="N13" t="b">
        <v>1</v>
      </c>
      <c r="T13" s="4" t="s">
        <v>14</v>
      </c>
      <c r="U13" s="5"/>
      <c r="V13" s="5"/>
      <c r="W13" s="5">
        <v>163.61455882352934</v>
      </c>
      <c r="X13" s="5"/>
      <c r="Y13" s="5"/>
      <c r="Z13" s="5">
        <v>163.61455882352934</v>
      </c>
    </row>
    <row r="14" spans="1:26" x14ac:dyDescent="0.25">
      <c r="A14">
        <v>13</v>
      </c>
      <c r="B14">
        <v>23</v>
      </c>
      <c r="C14" t="s">
        <v>27</v>
      </c>
      <c r="D14" t="s">
        <v>30</v>
      </c>
      <c r="E14" s="1">
        <v>45426</v>
      </c>
      <c r="F14" t="s">
        <v>23</v>
      </c>
      <c r="G14" t="s">
        <v>21</v>
      </c>
      <c r="H14">
        <v>49.51</v>
      </c>
      <c r="I14" s="1">
        <v>45562</v>
      </c>
      <c r="J14">
        <v>23.1</v>
      </c>
      <c r="K14">
        <v>1.1000000000000001</v>
      </c>
      <c r="L14" t="b">
        <v>0</v>
      </c>
      <c r="M14" t="s">
        <v>18</v>
      </c>
      <c r="N14" t="b">
        <v>0</v>
      </c>
      <c r="T14" s="3" t="s">
        <v>17</v>
      </c>
      <c r="U14" s="5"/>
      <c r="V14" s="5"/>
      <c r="W14" s="5"/>
      <c r="X14" s="5"/>
      <c r="Y14" s="5"/>
      <c r="Z14" s="5"/>
    </row>
    <row r="15" spans="1:26" x14ac:dyDescent="0.25">
      <c r="A15">
        <v>14</v>
      </c>
      <c r="B15">
        <v>35</v>
      </c>
      <c r="C15" t="s">
        <v>24</v>
      </c>
      <c r="D15" t="s">
        <v>19</v>
      </c>
      <c r="E15" s="1">
        <v>44585</v>
      </c>
      <c r="F15" t="s">
        <v>35</v>
      </c>
      <c r="G15" t="s">
        <v>32</v>
      </c>
      <c r="H15">
        <v>157.28</v>
      </c>
      <c r="I15" s="1">
        <v>44614</v>
      </c>
      <c r="J15">
        <v>37.6</v>
      </c>
      <c r="K15">
        <v>4.5999999999999996</v>
      </c>
      <c r="L15" t="b">
        <v>0</v>
      </c>
      <c r="M15" t="s">
        <v>18</v>
      </c>
      <c r="N15" t="b">
        <v>0</v>
      </c>
      <c r="T15" s="4" t="s">
        <v>24</v>
      </c>
      <c r="U15" s="5">
        <v>101.58408823529399</v>
      </c>
      <c r="V15" s="5"/>
      <c r="W15" s="5">
        <v>157.27870588235297</v>
      </c>
      <c r="X15" s="5"/>
      <c r="Y15" s="5"/>
      <c r="Z15" s="5">
        <v>135.0008588235294</v>
      </c>
    </row>
    <row r="16" spans="1:26" x14ac:dyDescent="0.25">
      <c r="A16">
        <v>15</v>
      </c>
      <c r="B16">
        <v>31</v>
      </c>
      <c r="C16" t="s">
        <v>24</v>
      </c>
      <c r="D16" t="s">
        <v>28</v>
      </c>
      <c r="E16" s="1">
        <v>44885</v>
      </c>
      <c r="F16" t="s">
        <v>34</v>
      </c>
      <c r="G16" t="s">
        <v>26</v>
      </c>
      <c r="H16">
        <v>148.18</v>
      </c>
      <c r="I16" s="1">
        <v>45046</v>
      </c>
      <c r="J16">
        <v>13.7</v>
      </c>
      <c r="K16">
        <v>3.3</v>
      </c>
      <c r="L16" t="b">
        <v>1</v>
      </c>
      <c r="M16" t="s">
        <v>18</v>
      </c>
      <c r="N16" t="b">
        <v>1</v>
      </c>
      <c r="T16" s="4" t="s">
        <v>27</v>
      </c>
      <c r="U16" s="5"/>
      <c r="V16" s="5"/>
      <c r="W16" s="5"/>
      <c r="X16" s="5"/>
      <c r="Y16" s="5">
        <v>139.09507647058757</v>
      </c>
      <c r="Z16" s="5">
        <v>139.09507647058757</v>
      </c>
    </row>
    <row r="17" spans="1:26" x14ac:dyDescent="0.25">
      <c r="A17">
        <v>16</v>
      </c>
      <c r="B17">
        <v>57</v>
      </c>
      <c r="C17" t="s">
        <v>24</v>
      </c>
      <c r="D17" t="s">
        <v>19</v>
      </c>
      <c r="E17" s="1">
        <v>44969</v>
      </c>
      <c r="F17" t="s">
        <v>36</v>
      </c>
      <c r="G17" t="s">
        <v>37</v>
      </c>
      <c r="H17">
        <v>170.46</v>
      </c>
      <c r="I17" s="1">
        <v>45095</v>
      </c>
      <c r="J17">
        <v>30.1</v>
      </c>
      <c r="K17">
        <v>3.2</v>
      </c>
      <c r="L17" t="b">
        <v>1</v>
      </c>
      <c r="M17" t="s">
        <v>18</v>
      </c>
      <c r="N17" t="b">
        <v>0</v>
      </c>
      <c r="T17" s="4" t="s">
        <v>14</v>
      </c>
      <c r="U17" s="5"/>
      <c r="V17" s="5">
        <v>141.71917058823502</v>
      </c>
      <c r="W17" s="5"/>
      <c r="X17" s="5"/>
      <c r="Y17" s="5"/>
      <c r="Z17" s="5">
        <v>141.71917058823502</v>
      </c>
    </row>
    <row r="18" spans="1:26" x14ac:dyDescent="0.25">
      <c r="A18" t="s">
        <v>0</v>
      </c>
      <c r="B18" t="s">
        <v>1</v>
      </c>
      <c r="C18" t="s">
        <v>2</v>
      </c>
      <c r="D18" t="s">
        <v>3</v>
      </c>
      <c r="E18" t="s">
        <v>4</v>
      </c>
      <c r="F18" t="s">
        <v>5</v>
      </c>
      <c r="G18" t="s">
        <v>6</v>
      </c>
      <c r="H18" t="s">
        <v>7</v>
      </c>
      <c r="I18" t="s">
        <v>8</v>
      </c>
      <c r="J18" t="s">
        <v>9</v>
      </c>
      <c r="K18" t="s">
        <v>10</v>
      </c>
      <c r="L18" t="s">
        <v>11</v>
      </c>
      <c r="M18" t="s">
        <v>12</v>
      </c>
      <c r="N18" t="b">
        <v>1</v>
      </c>
      <c r="T18" s="3" t="s">
        <v>26</v>
      </c>
      <c r="U18" s="5"/>
      <c r="V18" s="5"/>
      <c r="W18" s="5"/>
      <c r="X18" s="5"/>
      <c r="Y18" s="5"/>
      <c r="Z18" s="5"/>
    </row>
    <row r="19" spans="1:26" x14ac:dyDescent="0.25">
      <c r="A19">
        <v>17</v>
      </c>
      <c r="B19">
        <v>31.925000000000001</v>
      </c>
      <c r="C19" t="s">
        <v>14</v>
      </c>
      <c r="D19" t="s">
        <v>15</v>
      </c>
      <c r="E19" s="1">
        <v>44613</v>
      </c>
      <c r="F19" t="s">
        <v>16</v>
      </c>
      <c r="G19" t="s">
        <v>17</v>
      </c>
      <c r="H19">
        <v>129.62975</v>
      </c>
      <c r="I19" s="1">
        <v>44787</v>
      </c>
      <c r="J19">
        <v>31.175000000000001</v>
      </c>
      <c r="K19">
        <v>2.91</v>
      </c>
      <c r="L19" t="b">
        <v>1</v>
      </c>
      <c r="M19" t="s">
        <v>18</v>
      </c>
      <c r="N19" t="b">
        <v>1</v>
      </c>
      <c r="T19" s="4" t="s">
        <v>24</v>
      </c>
      <c r="U19" s="5"/>
      <c r="V19" s="5">
        <v>142.0220999999996</v>
      </c>
      <c r="W19" s="5"/>
      <c r="X19" s="5"/>
      <c r="Y19" s="5">
        <v>148.048419117647</v>
      </c>
      <c r="Z19" s="5">
        <v>143.74390546218459</v>
      </c>
    </row>
    <row r="20" spans="1:26" x14ac:dyDescent="0.25">
      <c r="A20">
        <v>18</v>
      </c>
      <c r="B20">
        <v>31.533823529411801</v>
      </c>
      <c r="C20" t="s">
        <v>14</v>
      </c>
      <c r="D20" t="s">
        <v>19</v>
      </c>
      <c r="E20" s="1">
        <v>44740</v>
      </c>
      <c r="F20" t="s">
        <v>20</v>
      </c>
      <c r="G20" t="s">
        <v>21</v>
      </c>
      <c r="H20">
        <v>130.93597058823499</v>
      </c>
      <c r="I20" s="1">
        <v>44800</v>
      </c>
      <c r="J20">
        <v>32.192647058823503</v>
      </c>
      <c r="K20">
        <v>2.9655882352941201</v>
      </c>
      <c r="L20" t="b">
        <v>1</v>
      </c>
      <c r="M20" t="s">
        <v>22</v>
      </c>
      <c r="N20" t="b">
        <v>0</v>
      </c>
      <c r="T20" s="4" t="s">
        <v>27</v>
      </c>
      <c r="U20" s="5"/>
      <c r="V20" s="5">
        <v>105.56700000000001</v>
      </c>
      <c r="W20" s="5"/>
      <c r="X20" s="5"/>
      <c r="Y20" s="5"/>
      <c r="Z20" s="5">
        <v>105.56700000000001</v>
      </c>
    </row>
    <row r="21" spans="1:26" x14ac:dyDescent="0.25">
      <c r="A21">
        <v>19</v>
      </c>
      <c r="B21">
        <v>31.142647058823499</v>
      </c>
      <c r="C21" t="s">
        <v>14</v>
      </c>
      <c r="D21" t="s">
        <v>19</v>
      </c>
      <c r="E21" s="1">
        <v>44616</v>
      </c>
      <c r="F21" t="s">
        <v>23</v>
      </c>
      <c r="G21" t="s">
        <v>21</v>
      </c>
      <c r="H21">
        <v>132.24219117647101</v>
      </c>
      <c r="I21" s="1">
        <v>44767</v>
      </c>
      <c r="J21">
        <v>33.210294117647003</v>
      </c>
      <c r="K21">
        <v>3.02117647058824</v>
      </c>
      <c r="L21" t="b">
        <v>0</v>
      </c>
      <c r="M21" t="s">
        <v>22</v>
      </c>
      <c r="N21" t="b">
        <v>1</v>
      </c>
      <c r="T21" s="4" t="s">
        <v>14</v>
      </c>
      <c r="U21" s="5"/>
      <c r="V21" s="5"/>
      <c r="W21" s="5">
        <v>163.78285294117634</v>
      </c>
      <c r="X21" s="5"/>
      <c r="Y21" s="5">
        <v>144.06114705882365</v>
      </c>
      <c r="Z21" s="5">
        <v>153.922</v>
      </c>
    </row>
    <row r="22" spans="1:26" x14ac:dyDescent="0.25">
      <c r="A22">
        <v>20</v>
      </c>
      <c r="B22">
        <v>30.7514705882353</v>
      </c>
      <c r="C22" t="s">
        <v>24</v>
      </c>
      <c r="D22" t="s">
        <v>15</v>
      </c>
      <c r="E22" s="1">
        <v>44888</v>
      </c>
      <c r="F22" t="s">
        <v>25</v>
      </c>
      <c r="G22" t="s">
        <v>26</v>
      </c>
      <c r="H22">
        <v>133.548411764706</v>
      </c>
      <c r="I22" s="1">
        <v>44915</v>
      </c>
      <c r="J22">
        <v>34.227941176470601</v>
      </c>
      <c r="K22">
        <v>3.07676470588236</v>
      </c>
      <c r="L22" t="b">
        <v>1</v>
      </c>
      <c r="M22" t="s">
        <v>22</v>
      </c>
      <c r="N22" t="b">
        <v>1</v>
      </c>
      <c r="T22" s="3" t="s">
        <v>37</v>
      </c>
      <c r="U22" s="5"/>
      <c r="V22" s="5"/>
      <c r="W22" s="5"/>
      <c r="X22" s="5"/>
      <c r="Y22" s="5"/>
      <c r="Z22" s="5"/>
    </row>
    <row r="23" spans="1:26" x14ac:dyDescent="0.25">
      <c r="A23">
        <v>21</v>
      </c>
      <c r="B23">
        <v>30.360294117647101</v>
      </c>
      <c r="C23" t="s">
        <v>27</v>
      </c>
      <c r="D23" t="s">
        <v>28</v>
      </c>
      <c r="E23" s="1">
        <v>44760</v>
      </c>
      <c r="F23" t="s">
        <v>29</v>
      </c>
      <c r="G23" t="s">
        <v>17</v>
      </c>
      <c r="H23">
        <v>134.854632352941</v>
      </c>
      <c r="I23" s="1">
        <v>44898</v>
      </c>
      <c r="J23">
        <v>35.2455882352941</v>
      </c>
      <c r="K23">
        <v>3.1323529411764701</v>
      </c>
      <c r="L23" t="b">
        <v>1</v>
      </c>
      <c r="M23" t="s">
        <v>18</v>
      </c>
      <c r="N23" t="b">
        <v>0</v>
      </c>
      <c r="T23" s="4" t="s">
        <v>24</v>
      </c>
      <c r="U23" s="5">
        <v>159.8415294117645</v>
      </c>
      <c r="V23" s="5"/>
      <c r="W23" s="5"/>
      <c r="X23" s="5"/>
      <c r="Y23" s="5"/>
      <c r="Z23" s="5">
        <v>159.8415294117645</v>
      </c>
    </row>
    <row r="24" spans="1:26" x14ac:dyDescent="0.25">
      <c r="A24">
        <v>22</v>
      </c>
      <c r="B24">
        <v>29.969117647058798</v>
      </c>
      <c r="C24" t="s">
        <v>27</v>
      </c>
      <c r="D24" t="s">
        <v>28</v>
      </c>
      <c r="E24" s="1">
        <v>44723</v>
      </c>
      <c r="F24" t="s">
        <v>20</v>
      </c>
      <c r="G24" t="s">
        <v>21</v>
      </c>
      <c r="H24">
        <v>136.16085294117701</v>
      </c>
      <c r="I24" s="1">
        <v>44735</v>
      </c>
      <c r="J24">
        <v>36.263235294117599</v>
      </c>
      <c r="K24">
        <v>3.1879411764705901</v>
      </c>
      <c r="L24" t="b">
        <v>1</v>
      </c>
      <c r="M24" t="s">
        <v>18</v>
      </c>
      <c r="N24" t="b">
        <v>1</v>
      </c>
      <c r="T24" s="3" t="s">
        <v>39</v>
      </c>
      <c r="U24" s="5">
        <v>128.12301286764676</v>
      </c>
      <c r="V24" s="5">
        <v>133.49287330316716</v>
      </c>
      <c r="W24" s="5">
        <v>149.89479545454546</v>
      </c>
      <c r="X24" s="5" t="e">
        <v>#DIV/0!</v>
      </c>
      <c r="Y24" s="5">
        <v>137.49772843137222</v>
      </c>
      <c r="Z24" s="5">
        <v>136.30334973262009</v>
      </c>
    </row>
    <row r="25" spans="1:26" x14ac:dyDescent="0.25">
      <c r="A25" t="s">
        <v>0</v>
      </c>
      <c r="B25" t="s">
        <v>1</v>
      </c>
      <c r="C25" t="s">
        <v>2</v>
      </c>
      <c r="D25" t="s">
        <v>3</v>
      </c>
      <c r="E25" t="s">
        <v>4</v>
      </c>
      <c r="F25" t="s">
        <v>5</v>
      </c>
      <c r="G25" t="s">
        <v>6</v>
      </c>
      <c r="H25" t="s">
        <v>7</v>
      </c>
      <c r="I25" t="s">
        <v>8</v>
      </c>
      <c r="J25" t="s">
        <v>9</v>
      </c>
      <c r="K25" t="s">
        <v>10</v>
      </c>
      <c r="L25" t="s">
        <v>11</v>
      </c>
      <c r="M25" t="s">
        <v>12</v>
      </c>
      <c r="N25" t="b">
        <v>1</v>
      </c>
    </row>
    <row r="26" spans="1:26" x14ac:dyDescent="0.25">
      <c r="A26">
        <v>17</v>
      </c>
      <c r="B26">
        <v>31.925000000000001</v>
      </c>
      <c r="C26" t="s">
        <v>14</v>
      </c>
      <c r="D26" t="s">
        <v>15</v>
      </c>
      <c r="E26" s="1">
        <v>44613</v>
      </c>
      <c r="F26" t="s">
        <v>16</v>
      </c>
      <c r="G26" t="s">
        <v>17</v>
      </c>
      <c r="H26">
        <v>129.62975</v>
      </c>
      <c r="I26" s="1">
        <v>44787</v>
      </c>
      <c r="J26">
        <v>31.175000000000001</v>
      </c>
      <c r="K26">
        <v>2.91</v>
      </c>
      <c r="L26" t="b">
        <v>1</v>
      </c>
      <c r="M26" t="s">
        <v>18</v>
      </c>
      <c r="N26" t="b">
        <v>1</v>
      </c>
    </row>
    <row r="27" spans="1:26" x14ac:dyDescent="0.25">
      <c r="A27">
        <v>18</v>
      </c>
      <c r="B27">
        <v>31.533823529411801</v>
      </c>
      <c r="C27" t="s">
        <v>14</v>
      </c>
      <c r="D27" t="s">
        <v>19</v>
      </c>
      <c r="E27" s="1">
        <v>44740</v>
      </c>
      <c r="F27" t="s">
        <v>20</v>
      </c>
      <c r="G27" t="s">
        <v>21</v>
      </c>
      <c r="H27">
        <v>130.93597058823499</v>
      </c>
      <c r="I27" s="1">
        <v>44800</v>
      </c>
      <c r="J27">
        <v>32.192647058823503</v>
      </c>
      <c r="K27">
        <v>2.9655882352941201</v>
      </c>
      <c r="L27" t="b">
        <v>1</v>
      </c>
      <c r="M27" t="s">
        <v>22</v>
      </c>
      <c r="N27" t="b">
        <v>0</v>
      </c>
    </row>
    <row r="28" spans="1:26" x14ac:dyDescent="0.25">
      <c r="A28">
        <v>19</v>
      </c>
      <c r="B28">
        <v>31.142647058823499</v>
      </c>
      <c r="C28" t="s">
        <v>14</v>
      </c>
      <c r="D28" t="s">
        <v>19</v>
      </c>
      <c r="E28" s="1">
        <v>44616</v>
      </c>
      <c r="F28" t="s">
        <v>23</v>
      </c>
      <c r="G28" t="s">
        <v>21</v>
      </c>
      <c r="H28">
        <v>132.24219117647101</v>
      </c>
      <c r="I28" s="1">
        <v>44767</v>
      </c>
      <c r="J28">
        <v>33.210294117647003</v>
      </c>
      <c r="K28">
        <v>3.02117647058824</v>
      </c>
      <c r="L28" t="b">
        <v>0</v>
      </c>
      <c r="M28" t="s">
        <v>22</v>
      </c>
      <c r="N28" t="b">
        <v>0</v>
      </c>
    </row>
    <row r="29" spans="1:26" x14ac:dyDescent="0.25">
      <c r="A29">
        <v>20</v>
      </c>
      <c r="B29">
        <v>30.7514705882353</v>
      </c>
      <c r="C29" t="s">
        <v>24</v>
      </c>
      <c r="D29" t="s">
        <v>15</v>
      </c>
      <c r="E29" s="1">
        <v>44888</v>
      </c>
      <c r="F29" t="s">
        <v>25</v>
      </c>
      <c r="G29" t="s">
        <v>26</v>
      </c>
      <c r="H29">
        <v>133.548411764706</v>
      </c>
      <c r="I29" s="1">
        <v>44915</v>
      </c>
      <c r="J29">
        <v>34.227941176470601</v>
      </c>
      <c r="K29">
        <v>3.07676470588236</v>
      </c>
      <c r="L29" t="b">
        <v>1</v>
      </c>
      <c r="M29" t="s">
        <v>22</v>
      </c>
      <c r="N29" t="b">
        <v>1</v>
      </c>
    </row>
    <row r="30" spans="1:26" x14ac:dyDescent="0.25">
      <c r="A30">
        <v>21</v>
      </c>
      <c r="B30">
        <v>30.360294117647101</v>
      </c>
      <c r="C30" t="s">
        <v>27</v>
      </c>
      <c r="D30" t="s">
        <v>28</v>
      </c>
      <c r="E30" s="1">
        <v>44760</v>
      </c>
      <c r="F30" t="s">
        <v>29</v>
      </c>
      <c r="G30" t="s">
        <v>17</v>
      </c>
      <c r="H30">
        <v>134.854632352941</v>
      </c>
      <c r="I30" s="1">
        <v>44898</v>
      </c>
      <c r="J30">
        <v>35.2455882352941</v>
      </c>
      <c r="K30">
        <v>3.1323529411764701</v>
      </c>
      <c r="L30" t="b">
        <v>1</v>
      </c>
      <c r="M30" t="s">
        <v>18</v>
      </c>
      <c r="N30" t="b">
        <v>1</v>
      </c>
    </row>
    <row r="31" spans="1:26" x14ac:dyDescent="0.25">
      <c r="A31">
        <v>22</v>
      </c>
      <c r="B31">
        <v>29.969117647058798</v>
      </c>
      <c r="C31" t="s">
        <v>27</v>
      </c>
      <c r="D31" t="s">
        <v>28</v>
      </c>
      <c r="E31" s="1">
        <v>44723</v>
      </c>
      <c r="F31" t="s">
        <v>20</v>
      </c>
      <c r="G31" t="s">
        <v>21</v>
      </c>
      <c r="H31">
        <v>136.16085294117701</v>
      </c>
      <c r="I31" s="1">
        <v>44735</v>
      </c>
      <c r="J31">
        <v>36.263235294117599</v>
      </c>
      <c r="K31">
        <v>3.1879411764705901</v>
      </c>
      <c r="L31" t="b">
        <v>1</v>
      </c>
      <c r="M31" t="s">
        <v>18</v>
      </c>
      <c r="N31" t="b">
        <v>1</v>
      </c>
    </row>
    <row r="32" spans="1:26" x14ac:dyDescent="0.25">
      <c r="A32">
        <v>23</v>
      </c>
      <c r="B32">
        <v>29.577941176470599</v>
      </c>
      <c r="C32" t="s">
        <v>14</v>
      </c>
      <c r="D32" t="s">
        <v>30</v>
      </c>
      <c r="E32" s="1">
        <v>45154</v>
      </c>
      <c r="F32" t="s">
        <v>31</v>
      </c>
      <c r="G32" t="s">
        <v>32</v>
      </c>
      <c r="H32">
        <v>137.467073529412</v>
      </c>
      <c r="I32" s="1">
        <v>45317</v>
      </c>
      <c r="J32">
        <v>37.280882352941099</v>
      </c>
      <c r="K32">
        <v>3.24352941176471</v>
      </c>
      <c r="L32" t="b">
        <v>0</v>
      </c>
      <c r="M32" t="s">
        <v>33</v>
      </c>
      <c r="N32" t="b">
        <v>0</v>
      </c>
    </row>
    <row r="33" spans="1:14" x14ac:dyDescent="0.25">
      <c r="A33">
        <v>24</v>
      </c>
      <c r="B33">
        <v>29.1867647058824</v>
      </c>
      <c r="C33" t="s">
        <v>24</v>
      </c>
      <c r="D33" t="s">
        <v>30</v>
      </c>
      <c r="E33" s="1">
        <v>45320</v>
      </c>
      <c r="F33" t="s">
        <v>16</v>
      </c>
      <c r="G33" t="s">
        <v>17</v>
      </c>
      <c r="H33">
        <v>138.773294117647</v>
      </c>
      <c r="I33" s="1">
        <v>45457</v>
      </c>
      <c r="J33">
        <v>38.298529411764697</v>
      </c>
      <c r="K33">
        <v>3.2991176470588299</v>
      </c>
      <c r="L33" t="b">
        <v>1</v>
      </c>
      <c r="M33" t="s">
        <v>18</v>
      </c>
      <c r="N33" t="b">
        <v>1</v>
      </c>
    </row>
    <row r="34" spans="1:14" x14ac:dyDescent="0.25">
      <c r="A34">
        <v>25</v>
      </c>
      <c r="B34">
        <v>28.795588235294101</v>
      </c>
      <c r="C34" t="s">
        <v>14</v>
      </c>
      <c r="D34" t="s">
        <v>30</v>
      </c>
      <c r="E34" s="1">
        <v>44896</v>
      </c>
      <c r="F34" t="s">
        <v>25</v>
      </c>
      <c r="G34" t="s">
        <v>26</v>
      </c>
      <c r="H34">
        <v>140.07951470588199</v>
      </c>
      <c r="I34" s="1">
        <v>44911</v>
      </c>
      <c r="J34">
        <v>39.316176470588204</v>
      </c>
      <c r="K34">
        <v>3.3547058823529401</v>
      </c>
      <c r="L34" t="b">
        <v>1</v>
      </c>
      <c r="M34" t="s">
        <v>18</v>
      </c>
      <c r="N34" t="b">
        <v>0</v>
      </c>
    </row>
    <row r="35" spans="1:14" x14ac:dyDescent="0.25">
      <c r="A35">
        <v>26</v>
      </c>
      <c r="B35">
        <v>28.404411764705898</v>
      </c>
      <c r="C35" t="s">
        <v>27</v>
      </c>
      <c r="D35" t="s">
        <v>15</v>
      </c>
      <c r="E35" s="1">
        <v>45208</v>
      </c>
      <c r="F35" t="s">
        <v>25</v>
      </c>
      <c r="G35" t="s">
        <v>26</v>
      </c>
      <c r="H35">
        <v>141.38573529411801</v>
      </c>
      <c r="I35" s="1">
        <v>45263</v>
      </c>
      <c r="J35">
        <v>40.333823529411703</v>
      </c>
      <c r="K35">
        <v>3.41029411764706</v>
      </c>
      <c r="L35" t="b">
        <v>1</v>
      </c>
      <c r="M35" t="s">
        <v>18</v>
      </c>
      <c r="N35" t="b">
        <v>0</v>
      </c>
    </row>
    <row r="36" spans="1:14" x14ac:dyDescent="0.25">
      <c r="A36">
        <v>27</v>
      </c>
      <c r="B36">
        <v>28.013235294117699</v>
      </c>
      <c r="C36" t="s">
        <v>14</v>
      </c>
      <c r="D36" t="s">
        <v>28</v>
      </c>
      <c r="E36" s="1">
        <v>45372</v>
      </c>
      <c r="F36" t="s">
        <v>34</v>
      </c>
      <c r="G36" t="s">
        <v>26</v>
      </c>
      <c r="H36">
        <v>142.691955882353</v>
      </c>
      <c r="I36" s="1">
        <v>45522</v>
      </c>
      <c r="J36">
        <v>41.351470588235301</v>
      </c>
      <c r="K36">
        <v>3.46588235294118</v>
      </c>
      <c r="L36" t="b">
        <v>1</v>
      </c>
      <c r="M36" t="s">
        <v>22</v>
      </c>
      <c r="N36" t="b">
        <v>1</v>
      </c>
    </row>
    <row r="37" spans="1:14" x14ac:dyDescent="0.25">
      <c r="A37">
        <v>28</v>
      </c>
      <c r="B37">
        <v>27.6220588235294</v>
      </c>
      <c r="C37" t="s">
        <v>24</v>
      </c>
      <c r="D37" t="s">
        <v>19</v>
      </c>
      <c r="E37" s="1">
        <v>45379</v>
      </c>
      <c r="F37" t="s">
        <v>16</v>
      </c>
      <c r="G37" t="s">
        <v>17</v>
      </c>
      <c r="H37">
        <v>143.99817647058799</v>
      </c>
      <c r="I37" s="1">
        <v>45408</v>
      </c>
      <c r="J37">
        <v>42.3691176470588</v>
      </c>
      <c r="K37">
        <v>3.5214705882352999</v>
      </c>
      <c r="L37" t="b">
        <v>0</v>
      </c>
      <c r="M37" t="s">
        <v>22</v>
      </c>
      <c r="N37" t="b">
        <v>0</v>
      </c>
    </row>
    <row r="38" spans="1:14" x14ac:dyDescent="0.25">
      <c r="A38">
        <v>29</v>
      </c>
      <c r="B38">
        <v>27.230882352941201</v>
      </c>
      <c r="C38" t="s">
        <v>27</v>
      </c>
      <c r="D38" t="s">
        <v>30</v>
      </c>
      <c r="E38" s="1">
        <v>45426</v>
      </c>
      <c r="F38" t="s">
        <v>23</v>
      </c>
      <c r="G38" t="s">
        <v>21</v>
      </c>
      <c r="H38">
        <v>145.30439705882401</v>
      </c>
      <c r="I38" s="1">
        <v>45562</v>
      </c>
      <c r="J38">
        <v>43.3867647058823</v>
      </c>
      <c r="K38">
        <v>3.5770588235294101</v>
      </c>
      <c r="L38" t="b">
        <v>0</v>
      </c>
      <c r="M38" t="s">
        <v>18</v>
      </c>
      <c r="N38" t="b">
        <v>0</v>
      </c>
    </row>
    <row r="39" spans="1:14" x14ac:dyDescent="0.25">
      <c r="A39">
        <v>30</v>
      </c>
      <c r="B39">
        <v>26.839705882353002</v>
      </c>
      <c r="C39" t="s">
        <v>24</v>
      </c>
      <c r="D39" t="s">
        <v>19</v>
      </c>
      <c r="E39" s="1">
        <v>44585</v>
      </c>
      <c r="F39" t="s">
        <v>35</v>
      </c>
      <c r="G39" t="s">
        <v>32</v>
      </c>
      <c r="H39">
        <v>146.610617647059</v>
      </c>
      <c r="I39" s="1">
        <v>44614</v>
      </c>
      <c r="J39">
        <v>44.404411764705799</v>
      </c>
      <c r="K39">
        <v>3.63264705882353</v>
      </c>
      <c r="L39" t="b">
        <v>0</v>
      </c>
      <c r="M39" t="s">
        <v>18</v>
      </c>
      <c r="N39" t="b">
        <v>1</v>
      </c>
    </row>
    <row r="40" spans="1:14" x14ac:dyDescent="0.25">
      <c r="A40">
        <v>31</v>
      </c>
      <c r="B40">
        <v>26.448529411764699</v>
      </c>
      <c r="C40" t="s">
        <v>24</v>
      </c>
      <c r="D40" t="s">
        <v>28</v>
      </c>
      <c r="E40" s="1">
        <v>44885</v>
      </c>
      <c r="F40" t="s">
        <v>34</v>
      </c>
      <c r="G40" t="s">
        <v>26</v>
      </c>
      <c r="H40">
        <v>147.91683823529399</v>
      </c>
      <c r="I40" s="1">
        <v>45046</v>
      </c>
      <c r="J40">
        <v>45.422058823529397</v>
      </c>
      <c r="K40">
        <v>3.6882352941176499</v>
      </c>
      <c r="L40" t="b">
        <v>1</v>
      </c>
      <c r="M40" t="s">
        <v>18</v>
      </c>
      <c r="N40" t="b">
        <v>1</v>
      </c>
    </row>
    <row r="41" spans="1:14" x14ac:dyDescent="0.25">
      <c r="A41">
        <v>32</v>
      </c>
      <c r="B41">
        <v>26.0573529411765</v>
      </c>
      <c r="C41" t="s">
        <v>24</v>
      </c>
      <c r="D41" t="s">
        <v>19</v>
      </c>
      <c r="E41" s="1">
        <v>44969</v>
      </c>
      <c r="F41" t="s">
        <v>36</v>
      </c>
      <c r="G41" t="s">
        <v>37</v>
      </c>
      <c r="H41">
        <v>149.22305882352899</v>
      </c>
      <c r="I41" s="1">
        <v>45095</v>
      </c>
      <c r="J41">
        <v>46.439705882352897</v>
      </c>
      <c r="K41">
        <v>3.7438235294117699</v>
      </c>
      <c r="L41" t="b">
        <v>1</v>
      </c>
      <c r="M41" t="s">
        <v>18</v>
      </c>
      <c r="N41" t="b">
        <v>1</v>
      </c>
    </row>
    <row r="42" spans="1:14" x14ac:dyDescent="0.25">
      <c r="A42" t="s">
        <v>0</v>
      </c>
      <c r="B42" t="s">
        <v>1</v>
      </c>
      <c r="C42" t="s">
        <v>2</v>
      </c>
      <c r="D42" t="s">
        <v>3</v>
      </c>
      <c r="E42" t="s">
        <v>4</v>
      </c>
      <c r="F42" t="s">
        <v>5</v>
      </c>
      <c r="G42" t="s">
        <v>6</v>
      </c>
      <c r="H42" t="s">
        <v>7</v>
      </c>
      <c r="I42" t="s">
        <v>8</v>
      </c>
      <c r="J42" t="s">
        <v>9</v>
      </c>
      <c r="K42" t="s">
        <v>10</v>
      </c>
      <c r="L42" t="s">
        <v>11</v>
      </c>
      <c r="M42" t="s">
        <v>12</v>
      </c>
      <c r="N42" t="b">
        <v>1</v>
      </c>
    </row>
    <row r="43" spans="1:14" x14ac:dyDescent="0.25">
      <c r="A43">
        <v>23</v>
      </c>
      <c r="B43">
        <v>29.577941176470802</v>
      </c>
      <c r="C43" t="s">
        <v>14</v>
      </c>
      <c r="D43" t="s">
        <v>15</v>
      </c>
      <c r="E43" s="1">
        <v>44613</v>
      </c>
      <c r="F43" t="s">
        <v>16</v>
      </c>
      <c r="G43" t="s">
        <v>17</v>
      </c>
      <c r="H43">
        <v>137.46707352940999</v>
      </c>
      <c r="I43" s="1">
        <v>44787</v>
      </c>
      <c r="J43">
        <v>37.280882352940999</v>
      </c>
      <c r="K43">
        <v>3.2435294117647202</v>
      </c>
      <c r="L43" t="b">
        <v>1</v>
      </c>
      <c r="M43" t="s">
        <v>18</v>
      </c>
      <c r="N43" t="b">
        <v>1</v>
      </c>
    </row>
    <row r="44" spans="1:14" x14ac:dyDescent="0.25">
      <c r="A44">
        <v>24</v>
      </c>
      <c r="B44">
        <v>29.186764705882599</v>
      </c>
      <c r="C44" t="s">
        <v>14</v>
      </c>
      <c r="D44" t="s">
        <v>19</v>
      </c>
      <c r="E44" s="1">
        <v>44740</v>
      </c>
      <c r="F44" t="s">
        <v>20</v>
      </c>
      <c r="G44" t="s">
        <v>21</v>
      </c>
      <c r="H44">
        <v>138.77329411764501</v>
      </c>
      <c r="I44" s="1">
        <v>44800</v>
      </c>
      <c r="J44">
        <v>38.298529411764498</v>
      </c>
      <c r="K44">
        <v>3.2991176470588401</v>
      </c>
      <c r="L44" t="b">
        <v>1</v>
      </c>
      <c r="M44" t="s">
        <v>22</v>
      </c>
      <c r="N44" t="b">
        <v>0</v>
      </c>
    </row>
    <row r="45" spans="1:14" x14ac:dyDescent="0.25">
      <c r="A45">
        <v>25</v>
      </c>
      <c r="B45">
        <v>28.795588235294399</v>
      </c>
      <c r="C45" t="s">
        <v>14</v>
      </c>
      <c r="D45" t="s">
        <v>19</v>
      </c>
      <c r="E45" s="1">
        <v>44616</v>
      </c>
      <c r="F45" t="s">
        <v>23</v>
      </c>
      <c r="G45" t="s">
        <v>21</v>
      </c>
      <c r="H45">
        <v>140.07951470588</v>
      </c>
      <c r="I45" s="1">
        <v>44767</v>
      </c>
      <c r="J45">
        <v>39.316176470587997</v>
      </c>
      <c r="K45">
        <v>3.3547058823529601</v>
      </c>
      <c r="L45" t="b">
        <v>0</v>
      </c>
      <c r="M45" t="s">
        <v>22</v>
      </c>
      <c r="N45" t="b">
        <v>1</v>
      </c>
    </row>
    <row r="46" spans="1:14" x14ac:dyDescent="0.25">
      <c r="A46">
        <v>26</v>
      </c>
      <c r="B46">
        <v>28.4044117647062</v>
      </c>
      <c r="C46" t="s">
        <v>24</v>
      </c>
      <c r="D46" t="s">
        <v>15</v>
      </c>
      <c r="E46" s="1">
        <v>44888</v>
      </c>
      <c r="F46" t="s">
        <v>25</v>
      </c>
      <c r="G46" t="s">
        <v>26</v>
      </c>
      <c r="H46">
        <v>141.38573529411499</v>
      </c>
      <c r="I46" s="1">
        <v>44915</v>
      </c>
      <c r="J46">
        <v>40.333823529411497</v>
      </c>
      <c r="K46">
        <v>3.41029411764708</v>
      </c>
      <c r="L46" t="b">
        <v>1</v>
      </c>
      <c r="M46" t="s">
        <v>22</v>
      </c>
      <c r="N46" t="b">
        <v>1</v>
      </c>
    </row>
    <row r="47" spans="1:14" x14ac:dyDescent="0.25">
      <c r="A47">
        <v>27</v>
      </c>
      <c r="B47">
        <v>28.013235294118001</v>
      </c>
      <c r="C47" t="s">
        <v>27</v>
      </c>
      <c r="D47" t="s">
        <v>28</v>
      </c>
      <c r="E47" s="1">
        <v>44760</v>
      </c>
      <c r="F47" t="s">
        <v>29</v>
      </c>
      <c r="G47" t="s">
        <v>17</v>
      </c>
      <c r="H47">
        <v>142.69195588234999</v>
      </c>
      <c r="I47" s="1">
        <v>44898</v>
      </c>
      <c r="J47">
        <v>41.351470588235003</v>
      </c>
      <c r="K47">
        <v>3.4658823529412</v>
      </c>
      <c r="L47" t="b">
        <v>1</v>
      </c>
      <c r="M47" t="s">
        <v>18</v>
      </c>
      <c r="N47" t="b">
        <v>1</v>
      </c>
    </row>
    <row r="48" spans="1:14" x14ac:dyDescent="0.25">
      <c r="A48">
        <v>28</v>
      </c>
      <c r="B48">
        <v>27.622058823529802</v>
      </c>
      <c r="C48" t="s">
        <v>27</v>
      </c>
      <c r="D48" t="s">
        <v>28</v>
      </c>
      <c r="E48" s="1">
        <v>44723</v>
      </c>
      <c r="F48" t="s">
        <v>20</v>
      </c>
      <c r="G48" t="s">
        <v>21</v>
      </c>
      <c r="H48">
        <v>143.99817647058501</v>
      </c>
      <c r="I48" s="1">
        <v>44735</v>
      </c>
      <c r="J48">
        <v>42.369117647058502</v>
      </c>
      <c r="K48">
        <v>3.5214705882353199</v>
      </c>
      <c r="L48" t="b">
        <v>1</v>
      </c>
      <c r="M48" t="s">
        <v>18</v>
      </c>
      <c r="N48" t="b">
        <v>0</v>
      </c>
    </row>
    <row r="49" spans="1:14" x14ac:dyDescent="0.25">
      <c r="A49" t="s">
        <v>0</v>
      </c>
      <c r="B49" t="s">
        <v>1</v>
      </c>
      <c r="C49" t="s">
        <v>2</v>
      </c>
      <c r="D49" t="s">
        <v>3</v>
      </c>
      <c r="E49" t="s">
        <v>4</v>
      </c>
      <c r="F49" t="s">
        <v>5</v>
      </c>
      <c r="G49" t="s">
        <v>6</v>
      </c>
      <c r="H49" t="s">
        <v>7</v>
      </c>
      <c r="I49" t="s">
        <v>8</v>
      </c>
      <c r="J49" t="s">
        <v>9</v>
      </c>
      <c r="K49" t="s">
        <v>10</v>
      </c>
      <c r="L49" t="s">
        <v>11</v>
      </c>
      <c r="M49" t="s">
        <v>12</v>
      </c>
      <c r="N49" t="b">
        <v>0</v>
      </c>
    </row>
    <row r="50" spans="1:14" x14ac:dyDescent="0.25">
      <c r="A50">
        <v>33</v>
      </c>
      <c r="B50">
        <v>25.666176470588301</v>
      </c>
      <c r="C50" t="s">
        <v>14</v>
      </c>
      <c r="D50" t="s">
        <v>15</v>
      </c>
      <c r="E50" s="1">
        <v>44613</v>
      </c>
      <c r="F50" t="s">
        <v>16</v>
      </c>
      <c r="G50" t="s">
        <v>17</v>
      </c>
      <c r="H50">
        <v>150.529279411765</v>
      </c>
      <c r="I50" s="1">
        <v>44787</v>
      </c>
      <c r="J50">
        <v>47.457352941176403</v>
      </c>
      <c r="K50">
        <v>3.7994117647058898</v>
      </c>
      <c r="L50" t="b">
        <v>1</v>
      </c>
      <c r="M50" t="s">
        <v>18</v>
      </c>
      <c r="N50" t="b">
        <v>0</v>
      </c>
    </row>
    <row r="51" spans="1:14" x14ac:dyDescent="0.25">
      <c r="A51">
        <v>34</v>
      </c>
      <c r="B51">
        <v>25.274999999999999</v>
      </c>
      <c r="C51" t="s">
        <v>14</v>
      </c>
      <c r="D51" t="s">
        <v>19</v>
      </c>
      <c r="E51" s="1">
        <v>44740</v>
      </c>
      <c r="F51" t="s">
        <v>20</v>
      </c>
      <c r="G51" t="s">
        <v>21</v>
      </c>
      <c r="H51">
        <v>151.8355</v>
      </c>
      <c r="I51" s="1">
        <v>44800</v>
      </c>
      <c r="J51">
        <v>48.475000000000001</v>
      </c>
      <c r="K51">
        <v>3.855</v>
      </c>
      <c r="L51" t="b">
        <v>1</v>
      </c>
      <c r="M51" t="s">
        <v>22</v>
      </c>
      <c r="N51" t="b">
        <v>0</v>
      </c>
    </row>
    <row r="52" spans="1:14" x14ac:dyDescent="0.25">
      <c r="A52">
        <v>35</v>
      </c>
      <c r="B52">
        <v>24.883823529411799</v>
      </c>
      <c r="C52" t="s">
        <v>14</v>
      </c>
      <c r="D52" t="s">
        <v>19</v>
      </c>
      <c r="E52" s="1">
        <v>44616</v>
      </c>
      <c r="F52" t="s">
        <v>23</v>
      </c>
      <c r="G52" t="s">
        <v>21</v>
      </c>
      <c r="H52">
        <v>153.14172058823499</v>
      </c>
      <c r="I52" s="1">
        <v>44767</v>
      </c>
      <c r="J52">
        <v>49.492647058823501</v>
      </c>
      <c r="K52">
        <v>3.9105882352941199</v>
      </c>
      <c r="L52" t="b">
        <v>0</v>
      </c>
      <c r="M52" t="s">
        <v>22</v>
      </c>
      <c r="N52" t="b">
        <v>0</v>
      </c>
    </row>
    <row r="53" spans="1:14" x14ac:dyDescent="0.25">
      <c r="A53">
        <v>36</v>
      </c>
      <c r="B53">
        <v>24.4926470588236</v>
      </c>
      <c r="C53" t="s">
        <v>24</v>
      </c>
      <c r="D53" t="s">
        <v>15</v>
      </c>
      <c r="E53" s="1">
        <v>44888</v>
      </c>
      <c r="F53" t="s">
        <v>25</v>
      </c>
      <c r="G53" t="s">
        <v>26</v>
      </c>
      <c r="H53">
        <v>154.44794117647101</v>
      </c>
      <c r="I53" s="1">
        <v>44915</v>
      </c>
      <c r="J53">
        <v>50.510294117647</v>
      </c>
      <c r="K53">
        <v>3.9661764705882399</v>
      </c>
      <c r="L53" t="b">
        <v>1</v>
      </c>
      <c r="M53" t="s">
        <v>22</v>
      </c>
      <c r="N53" t="b">
        <v>1</v>
      </c>
    </row>
    <row r="54" spans="1:14" x14ac:dyDescent="0.25">
      <c r="A54">
        <v>37</v>
      </c>
      <c r="B54">
        <v>24.101470588235301</v>
      </c>
      <c r="C54" t="s">
        <v>27</v>
      </c>
      <c r="D54" t="s">
        <v>28</v>
      </c>
      <c r="E54" s="1">
        <v>44760</v>
      </c>
      <c r="F54" t="s">
        <v>29</v>
      </c>
      <c r="G54" t="s">
        <v>17</v>
      </c>
      <c r="H54">
        <v>155.754161764706</v>
      </c>
      <c r="I54" s="1">
        <v>44898</v>
      </c>
      <c r="J54">
        <v>51.527941176470499</v>
      </c>
      <c r="K54">
        <v>4.0217647058823598</v>
      </c>
      <c r="L54" t="b">
        <v>1</v>
      </c>
      <c r="M54" t="s">
        <v>18</v>
      </c>
      <c r="N54" t="b">
        <v>1</v>
      </c>
    </row>
    <row r="55" spans="1:14" x14ac:dyDescent="0.25">
      <c r="A55">
        <v>38</v>
      </c>
      <c r="B55">
        <v>23.710294117647098</v>
      </c>
      <c r="C55" t="s">
        <v>27</v>
      </c>
      <c r="D55" t="s">
        <v>28</v>
      </c>
      <c r="E55" s="1">
        <v>44723</v>
      </c>
      <c r="F55" t="s">
        <v>20</v>
      </c>
      <c r="G55" t="s">
        <v>21</v>
      </c>
      <c r="H55">
        <v>157.06038235294099</v>
      </c>
      <c r="I55" s="1">
        <v>44735</v>
      </c>
      <c r="J55">
        <v>52.545588235294098</v>
      </c>
      <c r="K55">
        <v>4.0773529411764704</v>
      </c>
      <c r="L55" t="b">
        <v>1</v>
      </c>
      <c r="M55" t="s">
        <v>18</v>
      </c>
      <c r="N55" t="b">
        <v>0</v>
      </c>
    </row>
    <row r="56" spans="1:14" x14ac:dyDescent="0.25">
      <c r="A56">
        <v>39</v>
      </c>
      <c r="B56">
        <v>23.319117647058899</v>
      </c>
      <c r="C56" t="s">
        <v>14</v>
      </c>
      <c r="D56" t="s">
        <v>30</v>
      </c>
      <c r="E56" s="1">
        <v>45154</v>
      </c>
      <c r="F56" t="s">
        <v>31</v>
      </c>
      <c r="G56" t="s">
        <v>32</v>
      </c>
      <c r="H56">
        <v>158.36660294117601</v>
      </c>
      <c r="I56" s="1">
        <v>45317</v>
      </c>
      <c r="J56">
        <v>53.563235294117597</v>
      </c>
      <c r="K56">
        <v>4.1329411764705899</v>
      </c>
      <c r="L56" t="b">
        <v>0</v>
      </c>
      <c r="M56" t="s">
        <v>33</v>
      </c>
      <c r="N56" t="b">
        <v>0</v>
      </c>
    </row>
    <row r="57" spans="1:14" x14ac:dyDescent="0.25">
      <c r="A57">
        <v>40</v>
      </c>
      <c r="B57">
        <v>22.9279411764706</v>
      </c>
      <c r="C57" t="s">
        <v>24</v>
      </c>
      <c r="D57" t="s">
        <v>30</v>
      </c>
      <c r="E57" s="1">
        <v>45320</v>
      </c>
      <c r="F57" t="s">
        <v>16</v>
      </c>
      <c r="G57" t="s">
        <v>17</v>
      </c>
      <c r="H57">
        <v>159.672823529412</v>
      </c>
      <c r="I57" s="1">
        <v>45457</v>
      </c>
      <c r="J57">
        <v>54.580882352941103</v>
      </c>
      <c r="K57">
        <v>4.1885294117647103</v>
      </c>
      <c r="L57" t="b">
        <v>1</v>
      </c>
      <c r="M57" t="s">
        <v>18</v>
      </c>
      <c r="N57" t="b">
        <v>0</v>
      </c>
    </row>
    <row r="58" spans="1:14" x14ac:dyDescent="0.25">
      <c r="A58">
        <v>41</v>
      </c>
      <c r="B58">
        <v>22.536764705882401</v>
      </c>
      <c r="C58" t="s">
        <v>14</v>
      </c>
      <c r="D58" t="s">
        <v>30</v>
      </c>
      <c r="E58" s="1">
        <v>44896</v>
      </c>
      <c r="F58" t="s">
        <v>25</v>
      </c>
      <c r="G58" t="s">
        <v>26</v>
      </c>
      <c r="H58">
        <v>160.97904411764699</v>
      </c>
      <c r="I58" s="1">
        <v>44911</v>
      </c>
      <c r="J58">
        <v>55.598529411764702</v>
      </c>
      <c r="K58">
        <v>4.2441176470588298</v>
      </c>
      <c r="L58" t="b">
        <v>1</v>
      </c>
      <c r="M58" t="s">
        <v>18</v>
      </c>
      <c r="N58" t="b">
        <v>1</v>
      </c>
    </row>
    <row r="59" spans="1:14" x14ac:dyDescent="0.25">
      <c r="A59">
        <v>42</v>
      </c>
      <c r="B59">
        <v>22.145588235294198</v>
      </c>
      <c r="C59" t="s">
        <v>27</v>
      </c>
      <c r="D59" t="s">
        <v>15</v>
      </c>
      <c r="E59" s="1">
        <v>45208</v>
      </c>
      <c r="F59" t="s">
        <v>25</v>
      </c>
      <c r="G59" t="s">
        <v>26</v>
      </c>
      <c r="H59">
        <v>162.28526470588201</v>
      </c>
      <c r="I59" s="1">
        <v>45263</v>
      </c>
      <c r="J59">
        <v>56.616176470588201</v>
      </c>
      <c r="K59">
        <v>4.2997058823529404</v>
      </c>
      <c r="L59" t="b">
        <v>1</v>
      </c>
      <c r="M59" t="s">
        <v>18</v>
      </c>
      <c r="N59" t="b">
        <v>0</v>
      </c>
    </row>
    <row r="60" spans="1:14" x14ac:dyDescent="0.25">
      <c r="A60">
        <v>43</v>
      </c>
      <c r="B60">
        <v>21.7544117647059</v>
      </c>
      <c r="C60" t="s">
        <v>14</v>
      </c>
      <c r="D60" t="s">
        <v>28</v>
      </c>
      <c r="E60" s="1">
        <v>45372</v>
      </c>
      <c r="F60" t="s">
        <v>34</v>
      </c>
      <c r="G60" t="s">
        <v>26</v>
      </c>
      <c r="H60">
        <v>163.591485294118</v>
      </c>
      <c r="I60" s="1">
        <v>45522</v>
      </c>
      <c r="J60">
        <v>57.6338235294117</v>
      </c>
      <c r="K60">
        <v>4.3552941176470599</v>
      </c>
      <c r="L60" t="b">
        <v>1</v>
      </c>
      <c r="M60" t="s">
        <v>22</v>
      </c>
      <c r="N60" t="b">
        <v>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818F-DE13-4441-91A2-2B7905F36038}">
  <dimension ref="C2:AC20"/>
  <sheetViews>
    <sheetView topLeftCell="B1" workbookViewId="0">
      <selection activeCell="M14" sqref="M14"/>
    </sheetView>
  </sheetViews>
  <sheetFormatPr defaultRowHeight="15" x14ac:dyDescent="0.25"/>
  <cols>
    <col min="6" max="6" width="10.7109375" bestFit="1" customWidth="1"/>
    <col min="7" max="7" width="18" customWidth="1"/>
    <col min="8" max="8" width="14" customWidth="1"/>
    <col min="9" max="9" width="14.42578125" customWidth="1"/>
    <col min="11" max="11" width="12.140625" customWidth="1"/>
    <col min="13" max="13" width="27.28515625" customWidth="1"/>
  </cols>
  <sheetData>
    <row r="2" spans="3:18" x14ac:dyDescent="0.25">
      <c r="C2" t="s">
        <v>43</v>
      </c>
      <c r="D2" t="s">
        <v>54</v>
      </c>
      <c r="E2" t="s">
        <v>55</v>
      </c>
      <c r="F2" t="s">
        <v>62</v>
      </c>
      <c r="G2" t="s">
        <v>58</v>
      </c>
      <c r="H2" t="s">
        <v>59</v>
      </c>
      <c r="I2" t="s">
        <v>63</v>
      </c>
      <c r="K2" t="s">
        <v>64</v>
      </c>
      <c r="M2" t="s">
        <v>66</v>
      </c>
      <c r="N2" t="s">
        <v>69</v>
      </c>
      <c r="P2" t="s">
        <v>67</v>
      </c>
      <c r="R2" t="s">
        <v>68</v>
      </c>
    </row>
    <row r="3" spans="3:18" x14ac:dyDescent="0.25">
      <c r="C3" t="s">
        <v>44</v>
      </c>
      <c r="D3">
        <v>10</v>
      </c>
      <c r="E3" t="s">
        <v>56</v>
      </c>
      <c r="F3" s="1">
        <v>43081</v>
      </c>
      <c r="G3">
        <f>COUNTA(C3:C14)</f>
        <v>11</v>
      </c>
      <c r="H3">
        <f>COUNT(D3:D14)</f>
        <v>12</v>
      </c>
      <c r="I3">
        <f>COUNT(F3:F14)</f>
        <v>12</v>
      </c>
      <c r="K3">
        <f>COUNTBLANK(C3:C14)</f>
        <v>1</v>
      </c>
      <c r="M3">
        <f>COUNTIF(E3:E14,"m")</f>
        <v>6</v>
      </c>
      <c r="N3">
        <f>SUMIF(E3:E14,"m",D3:D14)</f>
        <v>360</v>
      </c>
      <c r="P3">
        <f>COUNTIF(D3:D14,"&gt;50")</f>
        <v>7</v>
      </c>
      <c r="R3">
        <f>COUNTIFS(E3:E14,"m",D3:D14,"&gt;50")</f>
        <v>3</v>
      </c>
    </row>
    <row r="4" spans="3:18" x14ac:dyDescent="0.25">
      <c r="C4" t="s">
        <v>45</v>
      </c>
      <c r="D4">
        <v>20</v>
      </c>
      <c r="E4" t="s">
        <v>57</v>
      </c>
      <c r="F4" s="1">
        <v>43082</v>
      </c>
    </row>
    <row r="5" spans="3:18" x14ac:dyDescent="0.25">
      <c r="C5" t="s">
        <v>46</v>
      </c>
      <c r="D5">
        <v>30</v>
      </c>
      <c r="E5" t="s">
        <v>56</v>
      </c>
      <c r="F5" s="1">
        <v>43083</v>
      </c>
    </row>
    <row r="6" spans="3:18" x14ac:dyDescent="0.25">
      <c r="C6" t="s">
        <v>47</v>
      </c>
      <c r="D6">
        <v>40</v>
      </c>
      <c r="E6" t="s">
        <v>57</v>
      </c>
      <c r="F6" s="1">
        <v>43084</v>
      </c>
    </row>
    <row r="7" spans="3:18" x14ac:dyDescent="0.25">
      <c r="C7" t="s">
        <v>48</v>
      </c>
      <c r="D7">
        <v>50</v>
      </c>
      <c r="E7" t="s">
        <v>56</v>
      </c>
      <c r="F7" s="1">
        <v>43085</v>
      </c>
    </row>
    <row r="8" spans="3:18" x14ac:dyDescent="0.25">
      <c r="D8">
        <v>60</v>
      </c>
      <c r="E8" t="s">
        <v>57</v>
      </c>
      <c r="F8" s="1">
        <v>43086</v>
      </c>
    </row>
    <row r="9" spans="3:18" x14ac:dyDescent="0.25">
      <c r="C9" t="s">
        <v>65</v>
      </c>
      <c r="D9">
        <v>70</v>
      </c>
      <c r="E9" t="s">
        <v>56</v>
      </c>
      <c r="F9" s="1">
        <v>43087</v>
      </c>
    </row>
    <row r="10" spans="3:18" x14ac:dyDescent="0.25">
      <c r="C10" t="s">
        <v>49</v>
      </c>
      <c r="D10">
        <v>80</v>
      </c>
      <c r="E10" t="s">
        <v>57</v>
      </c>
      <c r="F10" s="1">
        <v>43088</v>
      </c>
    </row>
    <row r="11" spans="3:18" x14ac:dyDescent="0.25">
      <c r="C11" t="s">
        <v>50</v>
      </c>
      <c r="D11">
        <v>90</v>
      </c>
      <c r="E11" t="s">
        <v>56</v>
      </c>
      <c r="F11" s="1">
        <v>43089</v>
      </c>
    </row>
    <row r="12" spans="3:18" x14ac:dyDescent="0.25">
      <c r="C12" t="s">
        <v>51</v>
      </c>
      <c r="D12">
        <v>100</v>
      </c>
      <c r="E12" t="s">
        <v>57</v>
      </c>
      <c r="F12" s="1">
        <v>43090</v>
      </c>
      <c r="M12" t="s">
        <v>70</v>
      </c>
    </row>
    <row r="13" spans="3:18" x14ac:dyDescent="0.25">
      <c r="C13" t="s">
        <v>52</v>
      </c>
      <c r="D13">
        <v>110</v>
      </c>
      <c r="E13" t="s">
        <v>56</v>
      </c>
      <c r="F13" s="1">
        <v>43091</v>
      </c>
      <c r="M13">
        <f>AVERAGEIFS(D3:D14,E3:E14,"m",D3:D14,"&lt;50")</f>
        <v>20</v>
      </c>
    </row>
    <row r="14" spans="3:18" x14ac:dyDescent="0.25">
      <c r="C14" t="s">
        <v>53</v>
      </c>
      <c r="D14">
        <v>120</v>
      </c>
      <c r="E14" t="s">
        <v>57</v>
      </c>
      <c r="F14" s="1">
        <v>43092</v>
      </c>
    </row>
    <row r="19" spans="29:29" x14ac:dyDescent="0.25">
      <c r="AC19" t="s">
        <v>60</v>
      </c>
    </row>
    <row r="20" spans="29:29" x14ac:dyDescent="0.25">
      <c r="AC20" t="s">
        <v>61</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C83F2-596D-4ACE-9F97-08761FA5466D}">
  <dimension ref="A1:K11"/>
  <sheetViews>
    <sheetView workbookViewId="0">
      <selection activeCell="E9" sqref="E9"/>
    </sheetView>
  </sheetViews>
  <sheetFormatPr defaultRowHeight="15" x14ac:dyDescent="0.25"/>
  <cols>
    <col min="1" max="1" width="14.42578125" customWidth="1"/>
    <col min="5" max="5" width="10.42578125" customWidth="1"/>
  </cols>
  <sheetData>
    <row r="1" spans="1:11" x14ac:dyDescent="0.25">
      <c r="A1" t="s">
        <v>71</v>
      </c>
    </row>
    <row r="3" spans="1:11" x14ac:dyDescent="0.25">
      <c r="A3" t="s">
        <v>72</v>
      </c>
      <c r="E3" t="s">
        <v>81</v>
      </c>
      <c r="F3" t="s">
        <v>82</v>
      </c>
      <c r="G3" t="s">
        <v>74</v>
      </c>
      <c r="H3" t="s">
        <v>75</v>
      </c>
      <c r="K3" t="s">
        <v>83</v>
      </c>
    </row>
    <row r="4" spans="1:11" x14ac:dyDescent="0.25">
      <c r="A4" t="s">
        <v>73</v>
      </c>
      <c r="H4" t="s">
        <v>86</v>
      </c>
      <c r="K4" t="s">
        <v>84</v>
      </c>
    </row>
    <row r="5" spans="1:11" x14ac:dyDescent="0.25">
      <c r="A5" t="s">
        <v>74</v>
      </c>
      <c r="K5" t="s">
        <v>85</v>
      </c>
    </row>
    <row r="6" spans="1:11" x14ac:dyDescent="0.25">
      <c r="A6" t="s">
        <v>75</v>
      </c>
      <c r="K6" t="s">
        <v>86</v>
      </c>
    </row>
    <row r="7" spans="1:11" x14ac:dyDescent="0.25">
      <c r="A7" t="s">
        <v>76</v>
      </c>
      <c r="K7" t="s">
        <v>87</v>
      </c>
    </row>
    <row r="8" spans="1:11" x14ac:dyDescent="0.25">
      <c r="A8" t="s">
        <v>77</v>
      </c>
    </row>
    <row r="9" spans="1:11" x14ac:dyDescent="0.25">
      <c r="A9" t="s">
        <v>78</v>
      </c>
    </row>
    <row r="10" spans="1:11" x14ac:dyDescent="0.25">
      <c r="A10" t="s">
        <v>79</v>
      </c>
    </row>
    <row r="11" spans="1:11" x14ac:dyDescent="0.25">
      <c r="A11" t="s">
        <v>80</v>
      </c>
    </row>
  </sheetData>
  <dataValidations count="5">
    <dataValidation type="whole" allowBlank="1" showInputMessage="1" showErrorMessage="1" sqref="E17:E20" xr:uid="{FC3B2356-317B-4334-8916-FA24F7DDCE8C}">
      <formula1>1</formula1>
      <formula2>100</formula2>
    </dataValidation>
    <dataValidation type="textLength" allowBlank="1" showInputMessage="1" showErrorMessage="1" sqref="F4:F11" xr:uid="{22C40F77-841E-4A3F-9B2B-CF2C1CC6D42A}">
      <formula1>1</formula1>
      <formula2>20</formula2>
    </dataValidation>
    <dataValidation type="date" allowBlank="1" showInputMessage="1" showErrorMessage="1" sqref="G4:G14" xr:uid="{15219B12-A7D2-4770-A81C-4F799C64E7FE}">
      <formula1>45293</formula1>
      <formula2>45659</formula2>
    </dataValidation>
    <dataValidation type="list" allowBlank="1" showInputMessage="1" showErrorMessage="1" sqref="H4:H14" xr:uid="{3281DE29-3053-4ADD-B960-2F5AFCCA3C29}">
      <formula1>$K$4:$K$8</formula1>
    </dataValidation>
    <dataValidation allowBlank="1" showInputMessage="1" showErrorMessage="1" errorTitle="NOT FIND" error="DONTS USE" sqref="E4:E16" xr:uid="{68E0E019-C97D-4864-A266-735FE39FA2EE}"/>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D706C-0920-451E-8DDA-F0C0A80BCF61}">
  <dimension ref="A1"/>
  <sheetViews>
    <sheetView tabSelected="1"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abhiraj thakur</dc:creator>
  <cp:lastModifiedBy>abhiraj thakur</cp:lastModifiedBy>
  <dcterms:created xsi:type="dcterms:W3CDTF">2025-06-10T13:40:40Z</dcterms:created>
  <dcterms:modified xsi:type="dcterms:W3CDTF">2025-06-17T13:39:07Z</dcterms:modified>
</cp:coreProperties>
</file>