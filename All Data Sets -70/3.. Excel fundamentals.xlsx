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53222"/>
  <mc:AlternateContent xmlns:mc="http://schemas.openxmlformats.org/markup-compatibility/2006">
    <mc:Choice Requires="x15">
      <x15ac:absPath xmlns:x15ac="http://schemas.microsoft.com/office/spreadsheetml/2010/11/ac" url="C:\Users\91854\Dropbox\My PC (LAPTOP-71JMUGR6)\Desktop\My material for Data Science\6. Complete EXCEL\"/>
    </mc:Choice>
  </mc:AlternateContent>
  <bookViews>
    <workbookView xWindow="0" yWindow="0" windowWidth="19200" windowHeight="7900" tabRatio="636" firstSheet="27" activeTab="28"/>
  </bookViews>
  <sheets>
    <sheet name="2. BASICS" sheetId="37" r:id="rId1"/>
    <sheet name="3. CREATE &amp; CLOSE FILES" sheetId="39" r:id="rId2"/>
    <sheet name="Cell reference" sheetId="1" r:id="rId3"/>
    <sheet name="SPEAK CELLS" sheetId="41" r:id="rId4"/>
    <sheet name="TEXT TO COLUMNS" sheetId="42" r:id="rId5"/>
    <sheet name="15.Flash Fill" sheetId="2" r:id="rId6"/>
    <sheet name="Viewing worksheets" sheetId="43" r:id="rId7"/>
    <sheet name="Custom Views" sheetId="3" r:id="rId8"/>
    <sheet name="Comparing two sheets" sheetId="4" r:id="rId9"/>
    <sheet name="2016" sheetId="5" r:id="rId10"/>
    <sheet name="2017" sheetId="6" r:id="rId11"/>
    <sheet name="Edit Custom List" sheetId="7" r:id="rId12"/>
    <sheet name="SHow Formulas" sheetId="8" r:id="rId13"/>
    <sheet name="Logical Test" sheetId="9" r:id="rId14"/>
    <sheet name="IF Function" sheetId="10" r:id="rId15"/>
    <sheet name="Nested IF" sheetId="11" r:id="rId16"/>
    <sheet name="AND Function" sheetId="12" r:id="rId17"/>
    <sheet name="OR Funtion" sheetId="13" r:id="rId18"/>
    <sheet name="NOT Function" sheetId="14" r:id="rId19"/>
    <sheet name="IF Error Function" sheetId="15" r:id="rId20"/>
    <sheet name="Auditing Tools" sheetId="16" r:id="rId21"/>
    <sheet name="Evaluate Formula" sheetId="17" r:id="rId22"/>
    <sheet name="TEXT Function" sheetId="18" r:id="rId23"/>
    <sheet name="Date function" sheetId="19" r:id="rId24"/>
    <sheet name="Sheet1" sheetId="44" r:id="rId25"/>
    <sheet name="Sheet2" sheetId="45" r:id="rId26"/>
    <sheet name="PRACTICE CF" sheetId="20" r:id="rId27"/>
    <sheet name="Practice" sheetId="21" r:id="rId28"/>
    <sheet name="VLOOKUP" sheetId="22" r:id="rId29"/>
    <sheet name="VLOOKUP_MATCH" sheetId="47" r:id="rId30"/>
    <sheet name="HLOOKUP" sheetId="23" r:id="rId31"/>
    <sheet name="XLOOKUP" sheetId="24" r:id="rId32"/>
    <sheet name="lookup " sheetId="46" r:id="rId33"/>
    <sheet name="NameRange" sheetId="25" r:id="rId34"/>
    <sheet name="NameRangeFormulas" sheetId="26" r:id="rId35"/>
    <sheet name="CountFunction" sheetId="27" r:id="rId36"/>
    <sheet name="Statistical Functions" sheetId="28" r:id="rId37"/>
    <sheet name="Mathematical Functions" sheetId="29" r:id="rId38"/>
    <sheet name="VLOOKUP_exactmatch" sheetId="30" r:id="rId39"/>
    <sheet name="Vlookup_appx_match" sheetId="31" r:id="rId40"/>
    <sheet name="HLOOKUP_" sheetId="32" r:id="rId41"/>
    <sheet name="LOOKUP Function" sheetId="33" r:id="rId42"/>
    <sheet name="VLOOKUP Full Record" sheetId="34" r:id="rId43"/>
    <sheet name="INDEX FUNCTION" sheetId="35" r:id="rId44"/>
    <sheet name="MATCH FUNCTIONS" sheetId="48" r:id="rId45"/>
    <sheet name="Protect Sheet" sheetId="49" r:id="rId46"/>
    <sheet name="Sheet7" sheetId="50" r:id="rId47"/>
  </sheets>
  <definedNames>
    <definedName name="_xlnm._FilterDatabase" localSheetId="28" hidden="1">VLOOKUP!$E$5:$E$15</definedName>
    <definedName name="IRSHAD_ALI">NameRange!$L$3:$L$11</definedName>
    <definedName name="Z_9C3B3B08_E836_4187_9F54_85567FC2169E_.wvu.Cols" localSheetId="7" hidden="1">'Custom Views'!$F:$F</definedName>
    <definedName name="Z_9C3B3B08_E836_4187_9F54_85567FC2169E_.wvu.FilterData" localSheetId="28" hidden="1">VLOOKUP!$E$5:$E$15</definedName>
    <definedName name="Z_BD3EB043_29D0_4252_8BB4_3D6D39776A99_.wvu.FilterData" localSheetId="28" hidden="1">VLOOKUP!$E$5:$E$15</definedName>
    <definedName name="Z_C78E632C_B4DE_416E_9417_BD43377A5CED_.wvu.Cols" localSheetId="7" hidden="1">'Custom Views'!$A:$A</definedName>
    <definedName name="Z_C78E632C_B4DE_416E_9417_BD43377A5CED_.wvu.FilterData" localSheetId="28" hidden="1">VLOOKUP!$E$5:$E$15</definedName>
  </definedNames>
  <calcPr calcId="152511"/>
  <customWorkbookViews>
    <customWorkbookView name="BOSS" guid="{C78E632C-B4DE-416E-9417-BD43377A5CED}" maximized="1" xWindow="-11" yWindow="-11" windowWidth="1942" windowHeight="1102" tabRatio="636" activeSheetId="3"/>
    <customWorkbookView name="CLIENT" guid="{9C3B3B08-E836-4187-9F54-85567FC2169E}" maximized="1" xWindow="-11" yWindow="-11" windowWidth="1942" windowHeight="1102" tabRatio="636" activeSheetId="3"/>
    <customWorkbookView name="MYSELF" guid="{BD3EB043-29D0-4252-8BB4-3D6D39776A99}" maximized="1" xWindow="-11" yWindow="-11" windowWidth="1942" windowHeight="1102" tabRatio="636" activeSheetId="3"/>
  </customWorkbookView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W15" i="22" l="1"/>
  <c r="W16" i="22" s="1"/>
  <c r="W17" i="22" s="1"/>
  <c r="W18" i="22" s="1"/>
  <c r="H11" i="22"/>
  <c r="I11" i="22" s="1"/>
  <c r="J11" i="22" s="1"/>
  <c r="K11" i="22" s="1"/>
  <c r="D2" i="48" l="1"/>
  <c r="J13" i="35"/>
  <c r="I7" i="35"/>
  <c r="G14" i="47"/>
  <c r="H14" i="47"/>
  <c r="I14" i="47"/>
  <c r="F14" i="47"/>
  <c r="H21" i="46"/>
  <c r="I21" i="46"/>
  <c r="G21" i="46"/>
  <c r="J15" i="46"/>
  <c r="G15" i="46"/>
  <c r="Q2" i="46"/>
  <c r="E2" i="46"/>
  <c r="H5" i="45" l="1"/>
  <c r="E2" i="44"/>
  <c r="D3" i="44"/>
  <c r="D4" i="44"/>
  <c r="D5" i="44"/>
  <c r="D6" i="44"/>
  <c r="D7" i="44"/>
  <c r="D8" i="44"/>
  <c r="D9" i="44"/>
  <c r="D10" i="44"/>
  <c r="D11" i="44"/>
  <c r="D12" i="44"/>
  <c r="D13" i="44"/>
  <c r="D14" i="44"/>
  <c r="D15" i="44"/>
  <c r="D2" i="44"/>
  <c r="C3" i="44"/>
  <c r="C4" i="44"/>
  <c r="C5" i="44"/>
  <c r="C6" i="44"/>
  <c r="C7" i="44"/>
  <c r="C8" i="44"/>
  <c r="C9" i="44"/>
  <c r="C10" i="44"/>
  <c r="C11" i="44"/>
  <c r="C12" i="44"/>
  <c r="C13" i="44"/>
  <c r="C14" i="44"/>
  <c r="C15" i="44"/>
  <c r="C2" i="44"/>
  <c r="B2" i="44"/>
  <c r="B3" i="44"/>
  <c r="B4" i="44"/>
  <c r="B5" i="44"/>
  <c r="B6" i="44"/>
  <c r="B7" i="44"/>
  <c r="B8" i="44"/>
  <c r="B9" i="44"/>
  <c r="B10" i="44"/>
  <c r="B11" i="44"/>
  <c r="B12" i="44"/>
  <c r="B13" i="44"/>
  <c r="B14" i="44"/>
  <c r="B15" i="44"/>
  <c r="K6" i="19"/>
  <c r="K5" i="19"/>
  <c r="K4" i="19"/>
  <c r="K3" i="19"/>
  <c r="C3" i="19"/>
  <c r="C2" i="19"/>
  <c r="E1" i="19"/>
  <c r="N8" i="18"/>
  <c r="M8" i="18"/>
  <c r="M9" i="18"/>
  <c r="M10" i="18"/>
  <c r="M11" i="18"/>
  <c r="M12" i="18"/>
  <c r="M13" i="18"/>
  <c r="M14" i="18"/>
  <c r="M15" i="18"/>
  <c r="M16" i="18"/>
  <c r="M17" i="18"/>
  <c r="K8" i="18" l="1"/>
  <c r="K10" i="18"/>
  <c r="K11" i="18"/>
  <c r="K12" i="18"/>
  <c r="K13" i="18"/>
  <c r="K14" i="18"/>
  <c r="K15" i="18"/>
  <c r="K16" i="18"/>
  <c r="K17" i="18"/>
  <c r="K9" i="18"/>
  <c r="J9" i="18"/>
  <c r="J10" i="18"/>
  <c r="J11" i="18"/>
  <c r="J12" i="18"/>
  <c r="J13" i="18"/>
  <c r="J14" i="18"/>
  <c r="J15" i="18"/>
  <c r="J16" i="18"/>
  <c r="J17" i="18"/>
  <c r="J8" i="18"/>
  <c r="I9" i="18"/>
  <c r="I10" i="18"/>
  <c r="I11" i="18"/>
  <c r="I12" i="18"/>
  <c r="I13" i="18"/>
  <c r="I14" i="18"/>
  <c r="I15" i="18"/>
  <c r="I16" i="18"/>
  <c r="I17" i="18"/>
  <c r="I8" i="18"/>
  <c r="H8" i="18"/>
  <c r="H9" i="18"/>
  <c r="H10" i="18"/>
  <c r="H11" i="18"/>
  <c r="H12" i="18"/>
  <c r="H13" i="18"/>
  <c r="H14" i="18"/>
  <c r="H15" i="18"/>
  <c r="H16" i="18"/>
  <c r="H17" i="18"/>
  <c r="G9" i="18"/>
  <c r="G10" i="18"/>
  <c r="G11" i="18"/>
  <c r="G12" i="18"/>
  <c r="G13" i="18"/>
  <c r="G14" i="18"/>
  <c r="G15" i="18"/>
  <c r="G16" i="18"/>
  <c r="G17" i="18"/>
  <c r="G8" i="18"/>
  <c r="F9" i="18"/>
  <c r="F10" i="18"/>
  <c r="F11" i="18"/>
  <c r="F12" i="18"/>
  <c r="F13" i="18"/>
  <c r="F14" i="18"/>
  <c r="F15" i="18"/>
  <c r="F16" i="18"/>
  <c r="F17" i="18"/>
  <c r="F8" i="18"/>
  <c r="E9" i="18"/>
  <c r="E10" i="18"/>
  <c r="E11" i="18"/>
  <c r="E12" i="18"/>
  <c r="E13" i="18"/>
  <c r="E14" i="18"/>
  <c r="E15" i="18"/>
  <c r="E16" i="18"/>
  <c r="E17" i="18"/>
  <c r="E8" i="18"/>
  <c r="D9" i="18"/>
  <c r="D10" i="18"/>
  <c r="D11" i="18"/>
  <c r="D12" i="18"/>
  <c r="D13" i="18"/>
  <c r="D14" i="18"/>
  <c r="D15" i="18"/>
  <c r="D16" i="18"/>
  <c r="D17" i="18"/>
  <c r="D8" i="18"/>
  <c r="C9" i="18"/>
  <c r="C10" i="18"/>
  <c r="C11" i="18"/>
  <c r="C12" i="18"/>
  <c r="C13" i="18"/>
  <c r="C14" i="18"/>
  <c r="C15" i="18"/>
  <c r="C16" i="18"/>
  <c r="C17" i="18"/>
  <c r="C8" i="18"/>
  <c r="B8" i="18"/>
  <c r="B9" i="18"/>
  <c r="B10" i="18"/>
  <c r="B11" i="18"/>
  <c r="B12" i="18"/>
  <c r="B13" i="18"/>
  <c r="B14" i="18"/>
  <c r="B15" i="18"/>
  <c r="B16" i="18"/>
  <c r="B17" i="18"/>
  <c r="C5" i="17"/>
  <c r="C3" i="17"/>
  <c r="H4" i="16"/>
  <c r="H5" i="16"/>
  <c r="H6" i="16"/>
  <c r="H7" i="16"/>
  <c r="H8" i="16"/>
  <c r="H9" i="16"/>
  <c r="H10" i="16"/>
  <c r="G4" i="16"/>
  <c r="G5" i="16"/>
  <c r="G6" i="16"/>
  <c r="G7" i="16"/>
  <c r="G8" i="16"/>
  <c r="G9" i="16"/>
  <c r="G10" i="16"/>
  <c r="F4" i="15"/>
  <c r="F5" i="15"/>
  <c r="F6" i="15"/>
  <c r="F7" i="15"/>
  <c r="F8" i="15"/>
  <c r="F9" i="15"/>
  <c r="F10" i="15"/>
  <c r="F11" i="15"/>
  <c r="F12" i="15"/>
  <c r="F13" i="15"/>
  <c r="F14" i="15"/>
  <c r="F15" i="15"/>
  <c r="F16" i="15"/>
  <c r="F17" i="15"/>
  <c r="F18" i="15"/>
  <c r="F19" i="15"/>
  <c r="E4" i="15"/>
  <c r="E5" i="15"/>
  <c r="E6" i="15"/>
  <c r="E7" i="15"/>
  <c r="E8" i="15"/>
  <c r="E9" i="15"/>
  <c r="E10" i="15"/>
  <c r="E11" i="15"/>
  <c r="E12" i="15"/>
  <c r="E13" i="15"/>
  <c r="E14" i="15"/>
  <c r="E15" i="15"/>
  <c r="E16" i="15"/>
  <c r="E17" i="15"/>
  <c r="E18" i="15"/>
  <c r="E19" i="15"/>
  <c r="M4" i="13"/>
  <c r="E6" i="12"/>
  <c r="E7" i="12"/>
  <c r="E8" i="12"/>
  <c r="E9" i="12"/>
  <c r="E10" i="12"/>
  <c r="H2" i="12"/>
  <c r="AC3" i="10" l="1"/>
  <c r="AC4" i="10"/>
  <c r="AC5" i="10"/>
  <c r="AC6" i="10"/>
  <c r="AC7" i="10"/>
  <c r="AC8" i="10"/>
  <c r="AC2" i="10"/>
  <c r="Y2" i="10"/>
  <c r="G22" i="9"/>
  <c r="G25" i="9"/>
  <c r="G24" i="9"/>
  <c r="G23" i="9"/>
  <c r="J6" i="8"/>
  <c r="J7" i="8"/>
  <c r="J5" i="8"/>
  <c r="I8" i="1" l="1"/>
  <c r="J8" i="1"/>
  <c r="K8" i="1"/>
  <c r="L8" i="1"/>
  <c r="M8" i="1"/>
  <c r="I9" i="1"/>
  <c r="J9" i="1"/>
  <c r="K9" i="1"/>
  <c r="L9" i="1"/>
  <c r="M9" i="1"/>
  <c r="I10" i="1"/>
  <c r="J10" i="1"/>
  <c r="K10" i="1"/>
  <c r="L10" i="1"/>
  <c r="M10" i="1"/>
  <c r="I11" i="1"/>
  <c r="J11" i="1"/>
  <c r="K11" i="1"/>
  <c r="L11" i="1"/>
  <c r="M11" i="1"/>
  <c r="I12" i="1"/>
  <c r="J12" i="1"/>
  <c r="K12" i="1"/>
  <c r="L12" i="1"/>
  <c r="M12" i="1"/>
  <c r="T5" i="1"/>
  <c r="T6" i="1"/>
  <c r="T7" i="1"/>
  <c r="T8" i="1"/>
  <c r="T9" i="1"/>
  <c r="S10" i="1"/>
  <c r="S9" i="1"/>
  <c r="S5" i="1"/>
  <c r="S6" i="1"/>
  <c r="S7" i="1"/>
  <c r="S8" i="1"/>
  <c r="H33" i="37"/>
  <c r="H28" i="37"/>
  <c r="H29" i="37"/>
  <c r="J8" i="34" l="1"/>
  <c r="K8" i="34"/>
  <c r="I8" i="34"/>
  <c r="J5" i="34"/>
  <c r="K5" i="34" s="1"/>
  <c r="I5" i="34"/>
  <c r="D13" i="33"/>
  <c r="D5" i="33"/>
  <c r="D4" i="33"/>
  <c r="B12" i="32"/>
  <c r="G20" i="30" a="1"/>
  <c r="G20" i="30" s="1"/>
  <c r="H17" i="30"/>
  <c r="G17" i="30"/>
  <c r="B17" i="30"/>
  <c r="D17" i="30" s="1"/>
  <c r="B29" i="30"/>
  <c r="B25" i="30"/>
  <c r="D18" i="30"/>
  <c r="B18" i="30"/>
  <c r="B19" i="30"/>
  <c r="D19" i="30" s="1"/>
  <c r="B20" i="30"/>
  <c r="D20" i="30" s="1"/>
  <c r="B21" i="30"/>
  <c r="D21" i="30" s="1"/>
  <c r="M9" i="29" l="1"/>
  <c r="M10" i="29"/>
  <c r="M11" i="29"/>
  <c r="M12" i="29"/>
  <c r="M13" i="29"/>
  <c r="M14" i="29"/>
  <c r="M8" i="29"/>
  <c r="L9" i="29"/>
  <c r="L10" i="29"/>
  <c r="L11" i="29"/>
  <c r="L12" i="29"/>
  <c r="L13" i="29"/>
  <c r="L14" i="29"/>
  <c r="L8" i="29"/>
  <c r="J14" i="29"/>
  <c r="K14" i="29"/>
  <c r="K13" i="29"/>
  <c r="K12" i="29"/>
  <c r="K8" i="29"/>
  <c r="K9" i="29"/>
  <c r="K10" i="29"/>
  <c r="I8" i="29"/>
  <c r="J8" i="29"/>
  <c r="K11" i="29"/>
  <c r="J10" i="29"/>
  <c r="J11" i="29"/>
  <c r="J12" i="29"/>
  <c r="J13" i="29"/>
  <c r="J9" i="29"/>
  <c r="G8" i="29"/>
  <c r="H9" i="29"/>
  <c r="H10" i="29"/>
  <c r="H11" i="29"/>
  <c r="H12" i="29"/>
  <c r="H13" i="29"/>
  <c r="H14" i="29"/>
  <c r="H8" i="29"/>
  <c r="G9" i="29"/>
  <c r="G10" i="29"/>
  <c r="G11" i="29"/>
  <c r="G12" i="29"/>
  <c r="G13" i="29"/>
  <c r="G14" i="29"/>
  <c r="F10" i="29"/>
  <c r="F11" i="29"/>
  <c r="F12" i="29"/>
  <c r="F13" i="29"/>
  <c r="F14" i="29"/>
  <c r="F9" i="29"/>
  <c r="F8" i="29"/>
  <c r="I9" i="29"/>
  <c r="I10" i="29"/>
  <c r="I11" i="29"/>
  <c r="I12" i="29"/>
  <c r="I13" i="29"/>
  <c r="I14" i="29"/>
  <c r="F16" i="29"/>
  <c r="L7" i="28"/>
  <c r="L9" i="28"/>
  <c r="N6" i="28"/>
  <c r="M6" i="28"/>
  <c r="F6" i="27" l="1"/>
  <c r="E6" i="27"/>
  <c r="D6" i="27"/>
  <c r="D7" i="27"/>
  <c r="C7" i="27"/>
  <c r="C6" i="27"/>
  <c r="C12" i="26"/>
  <c r="C11" i="26"/>
  <c r="C5" i="26"/>
  <c r="C6" i="26"/>
  <c r="C10" i="26"/>
  <c r="C8" i="26"/>
  <c r="D9" i="26"/>
  <c r="C9" i="26"/>
  <c r="C7" i="26"/>
  <c r="C4" i="26"/>
  <c r="I14" i="25" l="1"/>
  <c r="I13" i="25"/>
  <c r="I12" i="25"/>
  <c r="I11" i="25"/>
  <c r="I10" i="25"/>
  <c r="I9" i="25"/>
  <c r="I8" i="25"/>
  <c r="I7" i="25"/>
  <c r="I6" i="25"/>
  <c r="I5" i="25"/>
  <c r="I4" i="25"/>
  <c r="J20" i="23" l="1"/>
  <c r="J21" i="23"/>
  <c r="J19" i="23"/>
  <c r="I16" i="19"/>
  <c r="J16" i="19" s="1"/>
  <c r="I17" i="19"/>
  <c r="J17" i="19" s="1"/>
  <c r="I18" i="19"/>
  <c r="J18" i="19" s="1"/>
  <c r="I19" i="19"/>
  <c r="J19" i="19" s="1"/>
  <c r="I20" i="19"/>
  <c r="J20" i="19" s="1"/>
  <c r="I21" i="19"/>
  <c r="J21" i="19" s="1"/>
  <c r="I15" i="19"/>
  <c r="J15" i="19" s="1"/>
  <c r="K15" i="19" s="1"/>
  <c r="L9" i="18" l="1"/>
  <c r="L10" i="18"/>
  <c r="L11" i="18"/>
  <c r="L12" i="18"/>
  <c r="L13" i="18"/>
  <c r="L14" i="18"/>
  <c r="L15" i="18"/>
  <c r="L16" i="18"/>
  <c r="L17" i="18"/>
  <c r="L8" i="18"/>
  <c r="H7" i="21" l="1"/>
  <c r="H8" i="21"/>
  <c r="H9" i="21"/>
  <c r="H10" i="21"/>
  <c r="H11" i="21"/>
  <c r="H12" i="21"/>
  <c r="H13" i="21"/>
  <c r="H14" i="21"/>
  <c r="H15" i="21"/>
  <c r="H16" i="21"/>
  <c r="H6" i="21"/>
  <c r="G7" i="21"/>
  <c r="G8" i="21"/>
  <c r="G9" i="21"/>
  <c r="G10" i="21"/>
  <c r="G11" i="21"/>
  <c r="G12" i="21"/>
  <c r="G13" i="21"/>
  <c r="G14" i="21"/>
  <c r="G15" i="21"/>
  <c r="G16" i="21"/>
  <c r="G6" i="21"/>
  <c r="E6" i="20"/>
  <c r="E7" i="20"/>
  <c r="E8" i="20"/>
  <c r="E9" i="20"/>
  <c r="E10" i="20"/>
  <c r="E11" i="20"/>
  <c r="E12" i="20"/>
  <c r="E13" i="20"/>
  <c r="E14" i="20"/>
  <c r="E15" i="20"/>
  <c r="E5" i="20"/>
  <c r="A13" i="16"/>
  <c r="C5" i="14" l="1"/>
  <c r="C6" i="14"/>
  <c r="C7" i="14"/>
  <c r="C8" i="14"/>
  <c r="C9" i="14"/>
  <c r="C4" i="14"/>
  <c r="E5" i="13"/>
  <c r="E6" i="13"/>
  <c r="E7" i="13"/>
  <c r="E8" i="13"/>
  <c r="B19" i="9"/>
  <c r="A12" i="16"/>
  <c r="A10" i="16"/>
  <c r="L5" i="10" l="1"/>
  <c r="L6" i="10"/>
  <c r="L7" i="10"/>
  <c r="L8" i="10"/>
  <c r="L4" i="10"/>
  <c r="B12" i="10"/>
  <c r="H2" i="10"/>
  <c r="B11" i="10"/>
  <c r="B10" i="10"/>
  <c r="B9" i="10"/>
  <c r="B8" i="10"/>
  <c r="B7" i="10"/>
  <c r="B6" i="10"/>
  <c r="B24" i="9"/>
  <c r="B23" i="9"/>
  <c r="B22" i="9"/>
  <c r="B21" i="9"/>
  <c r="B20" i="9"/>
  <c r="E9" i="1" l="1"/>
  <c r="E10" i="1"/>
  <c r="E11" i="1"/>
  <c r="E12" i="1"/>
  <c r="E13" i="1"/>
  <c r="E8" i="1"/>
  <c r="D14" i="1"/>
  <c r="D9" i="1"/>
  <c r="D10" i="1"/>
  <c r="D11" i="1"/>
  <c r="D12" i="1"/>
  <c r="D13" i="1"/>
  <c r="D8" i="1"/>
  <c r="K15" i="7"/>
  <c r="I18" i="7"/>
</calcChain>
</file>

<file path=xl/comments1.xml><?xml version="1.0" encoding="utf-8"?>
<comments xmlns="http://schemas.openxmlformats.org/spreadsheetml/2006/main">
  <authors>
    <author>Mayank Raghuwanshi</author>
  </authors>
  <commentList>
    <comment ref="C8" authorId="0" shapeId="0">
      <text>
        <r>
          <rPr>
            <b/>
            <sz val="9"/>
            <color indexed="81"/>
            <rFont val="Tahoma"/>
            <family val="2"/>
          </rPr>
          <t>Mayank Raghuwanshi:</t>
        </r>
        <r>
          <rPr>
            <sz val="9"/>
            <color indexed="81"/>
            <rFont val="Tahoma"/>
            <family val="2"/>
          </rPr>
          <t xml:space="preserve">
Count function is used only for the numerical data.</t>
        </r>
      </text>
    </comment>
    <comment ref="C9" authorId="0" shapeId="0">
      <text>
        <r>
          <rPr>
            <b/>
            <sz val="9"/>
            <color indexed="81"/>
            <rFont val="Tahoma"/>
            <family val="2"/>
          </rPr>
          <t>Mayank Raghuwanshi:</t>
        </r>
        <r>
          <rPr>
            <sz val="9"/>
            <color indexed="81"/>
            <rFont val="Tahoma"/>
            <family val="2"/>
          </rPr>
          <t xml:space="preserve">
COUNTA is used for text as well as for numerical data.
</t>
        </r>
      </text>
    </comment>
    <comment ref="C10" authorId="0" shapeId="0">
      <text>
        <r>
          <rPr>
            <b/>
            <sz val="9"/>
            <color indexed="81"/>
            <rFont val="Tahoma"/>
            <family val="2"/>
          </rPr>
          <t>Mayank Raghuwanshi:</t>
        </r>
        <r>
          <rPr>
            <sz val="9"/>
            <color indexed="81"/>
            <rFont val="Tahoma"/>
            <family val="2"/>
          </rPr>
          <t xml:space="preserve">
countblank is used to count the no of blank cells.</t>
        </r>
      </text>
    </comment>
    <comment ref="C11" authorId="0" shapeId="0">
      <text>
        <r>
          <rPr>
            <b/>
            <sz val="9"/>
            <color indexed="81"/>
            <rFont val="Tahoma"/>
            <charset val="1"/>
          </rPr>
          <t>Mayank Raghuwanshi:</t>
        </r>
        <r>
          <rPr>
            <sz val="9"/>
            <color indexed="81"/>
            <rFont val="Tahoma"/>
            <charset val="1"/>
          </rPr>
          <t xml:space="preserve">
small is used to get the k-th smallest value from an array.</t>
        </r>
      </text>
    </comment>
    <comment ref="C12" authorId="0" shapeId="0">
      <text>
        <r>
          <rPr>
            <b/>
            <sz val="9"/>
            <color indexed="81"/>
            <rFont val="Tahoma"/>
            <charset val="1"/>
          </rPr>
          <t>Mayank Raghuwanshi:</t>
        </r>
        <r>
          <rPr>
            <sz val="9"/>
            <color indexed="81"/>
            <rFont val="Tahoma"/>
            <charset val="1"/>
          </rPr>
          <t xml:space="preserve">
large is used to get the k-th largest value from an array.</t>
        </r>
      </text>
    </comment>
  </commentList>
</comments>
</file>

<file path=xl/comments2.xml><?xml version="1.0" encoding="utf-8"?>
<comments xmlns="http://schemas.openxmlformats.org/spreadsheetml/2006/main">
  <authors>
    <author>Mayank Raghuwanshi</author>
  </authors>
  <commentList>
    <comment ref="A3" authorId="0" shapeId="0">
      <text>
        <r>
          <rPr>
            <b/>
            <sz val="9"/>
            <color indexed="81"/>
            <rFont val="Tahoma"/>
            <charset val="1"/>
          </rPr>
          <t>Mayank Raghuwanshi:</t>
        </r>
        <r>
          <rPr>
            <sz val="9"/>
            <color indexed="81"/>
            <rFont val="Tahoma"/>
            <charset val="1"/>
          </rPr>
          <t xml:space="preserve">
if wale use for only 1 condition.</t>
        </r>
      </text>
    </comment>
    <comment ref="A7" authorId="0" shapeId="0">
      <text>
        <r>
          <rPr>
            <b/>
            <sz val="9"/>
            <color indexed="81"/>
            <rFont val="Tahoma"/>
            <charset val="1"/>
          </rPr>
          <t>Mayank Raghuwanshi:</t>
        </r>
        <r>
          <rPr>
            <sz val="9"/>
            <color indexed="81"/>
            <rFont val="Tahoma"/>
            <charset val="1"/>
          </rPr>
          <t xml:space="preserve">
ifs wale used for multiple conditions.</t>
        </r>
      </text>
    </comment>
  </commentList>
</comments>
</file>

<file path=xl/comments3.xml><?xml version="1.0" encoding="utf-8"?>
<comments xmlns="http://schemas.openxmlformats.org/spreadsheetml/2006/main">
  <authors>
    <author>Mayank Raghuwanshi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Mayank Raghuwanshi:</t>
        </r>
        <r>
          <rPr>
            <sz val="9"/>
            <color indexed="81"/>
            <rFont val="Tahoma"/>
            <family val="2"/>
          </rPr>
          <t xml:space="preserve">
SUMPRODUCT IS USED TO RETURN THE SUM OF THE PRODUCTS OF THE MULTIPLE ARRAYS.</t>
        </r>
      </text>
    </comment>
    <comment ref="A2" authorId="0" shapeId="0">
      <text>
        <r>
          <rPr>
            <b/>
            <sz val="9"/>
            <color indexed="81"/>
            <rFont val="Tahoma"/>
            <family val="2"/>
          </rPr>
          <t>Mayank Raghuwanshi:</t>
        </r>
        <r>
          <rPr>
            <sz val="9"/>
            <color indexed="81"/>
            <rFont val="Tahoma"/>
            <family val="2"/>
          </rPr>
          <t xml:space="preserve">
MROUND IS USED TO GET THE ROUND VALUE OF DESIRED MULTIPLE.</t>
        </r>
      </text>
    </comment>
  </commentList>
</comments>
</file>

<file path=xl/sharedStrings.xml><?xml version="1.0" encoding="utf-8"?>
<sst xmlns="http://schemas.openxmlformats.org/spreadsheetml/2006/main" count="1143" uniqueCount="592">
  <si>
    <t>Sunday</t>
  </si>
  <si>
    <t>Monday</t>
  </si>
  <si>
    <t>Tuesday</t>
  </si>
  <si>
    <t>Wednesday</t>
  </si>
  <si>
    <t>Thursday</t>
  </si>
  <si>
    <t>Friday</t>
  </si>
  <si>
    <t>Saturday</t>
  </si>
  <si>
    <t>Relative Reference</t>
  </si>
  <si>
    <t>Absolute reference</t>
  </si>
  <si>
    <t>Mixed Reference</t>
  </si>
  <si>
    <t>Units</t>
  </si>
  <si>
    <t>Ptroducts</t>
  </si>
  <si>
    <t>Mobile</t>
  </si>
  <si>
    <t>Chair</t>
  </si>
  <si>
    <t>Table</t>
  </si>
  <si>
    <t>Charger</t>
  </si>
  <si>
    <t>Bag</t>
  </si>
  <si>
    <t>Bottle</t>
  </si>
  <si>
    <t>Unit price</t>
  </si>
  <si>
    <t>Quantity</t>
  </si>
  <si>
    <t>Total Price</t>
  </si>
  <si>
    <t>Percentage</t>
  </si>
  <si>
    <t>Ctrl+ E FOR flash Fill</t>
  </si>
  <si>
    <t>Product Code</t>
  </si>
  <si>
    <t>1001-201-X101</t>
  </si>
  <si>
    <t>1002-202-X102</t>
  </si>
  <si>
    <t>1003-203-X103</t>
  </si>
  <si>
    <t>1004-204-X104</t>
  </si>
  <si>
    <t>1005-205-X105</t>
  </si>
  <si>
    <t>1006-206-X106</t>
  </si>
  <si>
    <t>First 3 Character</t>
  </si>
  <si>
    <t>Middle 3 Character</t>
  </si>
  <si>
    <t>Last 3 Character</t>
  </si>
  <si>
    <t>Unique 3 Character</t>
  </si>
  <si>
    <t>DAY</t>
  </si>
  <si>
    <t>Last 2 char</t>
  </si>
  <si>
    <t>First Name</t>
  </si>
  <si>
    <t>Last Name</t>
  </si>
  <si>
    <t>Full Name</t>
  </si>
  <si>
    <t>Sandeep</t>
  </si>
  <si>
    <t>Suneel</t>
  </si>
  <si>
    <t>Jay</t>
  </si>
  <si>
    <t>Rajan</t>
  </si>
  <si>
    <t>Neha</t>
  </si>
  <si>
    <t>Shilpi</t>
  </si>
  <si>
    <t>AB</t>
  </si>
  <si>
    <t>CD</t>
  </si>
  <si>
    <t>EF</t>
  </si>
  <si>
    <t>GH</t>
  </si>
  <si>
    <t>IH</t>
  </si>
  <si>
    <t>KL</t>
  </si>
  <si>
    <t>Sandeep AB</t>
  </si>
  <si>
    <t>Suneel CD</t>
  </si>
  <si>
    <t>Jay EF</t>
  </si>
  <si>
    <t>Rajan GH</t>
  </si>
  <si>
    <t>Neha IH</t>
  </si>
  <si>
    <t>Shilpi KL</t>
  </si>
  <si>
    <t>Cell Referencing</t>
  </si>
  <si>
    <t>Custom Views</t>
  </si>
  <si>
    <t>Creating views</t>
  </si>
  <si>
    <t>Displaying Views</t>
  </si>
  <si>
    <t>Deleting Views</t>
  </si>
  <si>
    <t>Seeing two sheets parallely for comapring two sheets</t>
  </si>
  <si>
    <t>Products</t>
  </si>
  <si>
    <t>Tables</t>
  </si>
  <si>
    <t>Phones</t>
  </si>
  <si>
    <t>Chargerr</t>
  </si>
  <si>
    <t>Bus</t>
  </si>
  <si>
    <t>Train</t>
  </si>
  <si>
    <t>Comparison operators</t>
  </si>
  <si>
    <t>=</t>
  </si>
  <si>
    <t>&lt;&gt;</t>
  </si>
  <si>
    <t>&lt;=</t>
  </si>
  <si>
    <t>&gt;=</t>
  </si>
  <si>
    <t>&gt;</t>
  </si>
  <si>
    <t>&lt;</t>
  </si>
  <si>
    <t>Sales 1</t>
  </si>
  <si>
    <t>Sales 2</t>
  </si>
  <si>
    <t>Pass</t>
  </si>
  <si>
    <t>Fail</t>
  </si>
  <si>
    <t>Ans as</t>
  </si>
  <si>
    <t>Formula</t>
  </si>
  <si>
    <t>True, False</t>
  </si>
  <si>
    <t>1,0</t>
  </si>
  <si>
    <t>Pass, Fail</t>
  </si>
  <si>
    <t>PASS,FAIL</t>
  </si>
  <si>
    <t>YES,NO</t>
  </si>
  <si>
    <t>B2+C2,0</t>
  </si>
  <si>
    <t>Today(),today()+10</t>
  </si>
  <si>
    <t>Nested IF Function</t>
  </si>
  <si>
    <t>121X</t>
  </si>
  <si>
    <t>222X</t>
  </si>
  <si>
    <t>323X</t>
  </si>
  <si>
    <t>424X</t>
  </si>
  <si>
    <t>525X</t>
  </si>
  <si>
    <t>626X</t>
  </si>
  <si>
    <t>ay</t>
  </si>
  <si>
    <t>Price</t>
  </si>
  <si>
    <t>Laptop</t>
  </si>
  <si>
    <t>Ctrl+`</t>
  </si>
  <si>
    <t>`= Tilt</t>
  </si>
  <si>
    <t>Marks1</t>
  </si>
  <si>
    <t>Marks2</t>
  </si>
  <si>
    <t>Description</t>
  </si>
  <si>
    <t>Equals to</t>
  </si>
  <si>
    <t>Not equals to</t>
  </si>
  <si>
    <t>Ans</t>
  </si>
  <si>
    <t>Output</t>
  </si>
  <si>
    <t>Name</t>
  </si>
  <si>
    <t>Marks</t>
  </si>
  <si>
    <t>Result</t>
  </si>
  <si>
    <t>Invalid</t>
  </si>
  <si>
    <t xml:space="preserve">Distinction </t>
  </si>
  <si>
    <t>NOT Func</t>
  </si>
  <si>
    <t>Auditing Tools</t>
  </si>
  <si>
    <t>Trace Precedents</t>
  </si>
  <si>
    <t>Trace Dependents</t>
  </si>
  <si>
    <t>Formulas-&gt; Trace Precedents, Trace Dependents, Remove arrows</t>
  </si>
  <si>
    <t>Remove Arrows</t>
  </si>
  <si>
    <t>.=FORMULATEXT(E2)</t>
  </si>
  <si>
    <t>To get the formula used in E2 Cell</t>
  </si>
  <si>
    <t xml:space="preserve"> =8*2+9-8/4</t>
  </si>
  <si>
    <t>result</t>
  </si>
  <si>
    <t>Text Function</t>
  </si>
  <si>
    <t>trim,proper,upper,len</t>
  </si>
  <si>
    <t>Left,right,mid,concatenate</t>
  </si>
  <si>
    <t>Find, search, replace, substitute</t>
  </si>
  <si>
    <t>NOW</t>
  </si>
  <si>
    <t>YEAR</t>
  </si>
  <si>
    <t>MONTH</t>
  </si>
  <si>
    <t>DATE</t>
  </si>
  <si>
    <t>TODAY</t>
  </si>
  <si>
    <t>Date Function</t>
  </si>
  <si>
    <t>Add/Subtract days</t>
  </si>
  <si>
    <t>Add/Subtract month</t>
  </si>
  <si>
    <t>Add/Subtract Years</t>
  </si>
  <si>
    <t>EDATE</t>
  </si>
  <si>
    <t>A</t>
  </si>
  <si>
    <t>B</t>
  </si>
  <si>
    <t>C</t>
  </si>
  <si>
    <t>D</t>
  </si>
  <si>
    <t>E</t>
  </si>
  <si>
    <t>F</t>
  </si>
  <si>
    <t>G</t>
  </si>
  <si>
    <t>Marks&gt;70</t>
  </si>
  <si>
    <t>50&lt;marks&lt;=70</t>
  </si>
  <si>
    <t>50&gt;marks</t>
  </si>
  <si>
    <t>Marks&gt;100</t>
  </si>
  <si>
    <t>Invalid input</t>
  </si>
  <si>
    <t>Attendance</t>
  </si>
  <si>
    <t>marks&gt;70 and attendance&gt;50</t>
  </si>
  <si>
    <t>Very good</t>
  </si>
  <si>
    <t>50&lt;marks&lt;=70 and attendance&gt;50</t>
  </si>
  <si>
    <t>Good</t>
  </si>
  <si>
    <t>marks&lt;50 and attendance&lt;50</t>
  </si>
  <si>
    <t>Bad</t>
  </si>
  <si>
    <t>Bool</t>
  </si>
  <si>
    <t>Bool2</t>
  </si>
  <si>
    <t>OR Operator</t>
  </si>
  <si>
    <t>"True"</t>
  </si>
  <si>
    <t>"False"</t>
  </si>
  <si>
    <t>Data</t>
  </si>
  <si>
    <t>Number</t>
  </si>
  <si>
    <t>Product name</t>
  </si>
  <si>
    <t>Selling price</t>
  </si>
  <si>
    <t>Tbale</t>
  </si>
  <si>
    <t>Laotop</t>
  </si>
  <si>
    <t>Headphoone</t>
  </si>
  <si>
    <t>Samsung</t>
  </si>
  <si>
    <t>tax %</t>
  </si>
  <si>
    <t>CTRL+[</t>
  </si>
  <si>
    <t>CTRL+]</t>
  </si>
  <si>
    <t>JGDHGXJHDJHGDJHGFDXJHDH</t>
  </si>
  <si>
    <t>SALES</t>
  </si>
  <si>
    <t xml:space="preserve">Age </t>
  </si>
  <si>
    <t>City</t>
  </si>
  <si>
    <t>Attendance %</t>
  </si>
  <si>
    <t>H</t>
  </si>
  <si>
    <t>I</t>
  </si>
  <si>
    <t>J</t>
  </si>
  <si>
    <t>K</t>
  </si>
  <si>
    <t>P</t>
  </si>
  <si>
    <t>U</t>
  </si>
  <si>
    <t>Y</t>
  </si>
  <si>
    <t>R</t>
  </si>
  <si>
    <t>W</t>
  </si>
  <si>
    <t>Q</t>
  </si>
  <si>
    <t>Comments</t>
  </si>
  <si>
    <t>IF marks&gt;65 and attend&gt;80 == Very Good</t>
  </si>
  <si>
    <t>IF 45&lt;marks&lt;65 and 80&gt;attend&gt;60 ==  Good</t>
  </si>
  <si>
    <t>IF 30&lt;marks&lt;45 and 60&gt;attend&gt;40 ==  AVG</t>
  </si>
  <si>
    <t>Else: Not good</t>
  </si>
  <si>
    <t>Make a box to find the data of the student by his/her name.</t>
  </si>
  <si>
    <t>Make a box to find the row and column of the student by his/her name.</t>
  </si>
  <si>
    <t>Questions…</t>
  </si>
  <si>
    <t>Name for data</t>
  </si>
  <si>
    <t>Name for row</t>
  </si>
  <si>
    <t>City for column</t>
  </si>
  <si>
    <t>Q2</t>
  </si>
  <si>
    <t>Q3</t>
  </si>
  <si>
    <t>TO SELECT</t>
  </si>
  <si>
    <t>MARKS/AGE</t>
  </si>
  <si>
    <t>error aarha hai</t>
  </si>
  <si>
    <t xml:space="preserve">  Jay</t>
  </si>
  <si>
    <t xml:space="preserve">  Gulshan</t>
  </si>
  <si>
    <t xml:space="preserve"> Prateek</t>
  </si>
  <si>
    <t>ranu</t>
  </si>
  <si>
    <t>ducat</t>
  </si>
  <si>
    <t>duCaT</t>
  </si>
  <si>
    <t>ShapeMySkillS</t>
  </si>
  <si>
    <t>TRIM</t>
  </si>
  <si>
    <t>PROPER</t>
  </si>
  <si>
    <t>UPPER</t>
  </si>
  <si>
    <t>LEN</t>
  </si>
  <si>
    <t>LEFT</t>
  </si>
  <si>
    <t>RIGHT</t>
  </si>
  <si>
    <t>MID</t>
  </si>
  <si>
    <t>CONCATENATE</t>
  </si>
  <si>
    <t>FIND</t>
  </si>
  <si>
    <t>SEARCH</t>
  </si>
  <si>
    <t>REPLACE</t>
  </si>
  <si>
    <t>SUBSTITUTE</t>
  </si>
  <si>
    <t>LOWER</t>
  </si>
  <si>
    <t>Mayank Raghuwanshi</t>
  </si>
  <si>
    <t>Case Sensitive</t>
  </si>
  <si>
    <t>Not case sensitive</t>
  </si>
  <si>
    <t>Mayank</t>
  </si>
  <si>
    <t>MRP</t>
  </si>
  <si>
    <t>Year</t>
  </si>
  <si>
    <t>Month</t>
  </si>
  <si>
    <t>Day</t>
  </si>
  <si>
    <t>Date</t>
  </si>
  <si>
    <t>month+4</t>
  </si>
  <si>
    <t>Year+10</t>
  </si>
  <si>
    <t xml:space="preserve"> +120 months</t>
  </si>
  <si>
    <t>Time Function</t>
  </si>
  <si>
    <t>CTRL+SHIFT+;</t>
  </si>
  <si>
    <t>For cur time</t>
  </si>
  <si>
    <t>for cur date</t>
  </si>
  <si>
    <t>ctrl+;</t>
  </si>
  <si>
    <t>VlookUp</t>
  </si>
  <si>
    <t>Sales</t>
  </si>
  <si>
    <t>h</t>
  </si>
  <si>
    <t>Seller name</t>
  </si>
  <si>
    <t>Quantity sold</t>
  </si>
  <si>
    <t>p</t>
  </si>
  <si>
    <t>o</t>
  </si>
  <si>
    <t>i</t>
  </si>
  <si>
    <t>u</t>
  </si>
  <si>
    <t>t</t>
  </si>
  <si>
    <t>r</t>
  </si>
  <si>
    <t>e</t>
  </si>
  <si>
    <t>w</t>
  </si>
  <si>
    <t>product id</t>
  </si>
  <si>
    <t>name</t>
  </si>
  <si>
    <t>Z</t>
  </si>
  <si>
    <t>HlookUp</t>
  </si>
  <si>
    <t>Region</t>
  </si>
  <si>
    <t>n</t>
  </si>
  <si>
    <t>s</t>
  </si>
  <si>
    <t>sales</t>
  </si>
  <si>
    <t>quantity</t>
  </si>
  <si>
    <t>a</t>
  </si>
  <si>
    <t>d</t>
  </si>
  <si>
    <t>f</t>
  </si>
  <si>
    <t>region</t>
  </si>
  <si>
    <t>Product id</t>
  </si>
  <si>
    <t>Working with the function</t>
  </si>
  <si>
    <t>SUM</t>
  </si>
  <si>
    <t>MINIMUM</t>
  </si>
  <si>
    <t>MAXIMUM</t>
  </si>
  <si>
    <t>AVERAGE</t>
  </si>
  <si>
    <t>COUNT</t>
  </si>
  <si>
    <t>COUNTA</t>
  </si>
  <si>
    <t>COUNTBLANK</t>
  </si>
  <si>
    <t>SMALL</t>
  </si>
  <si>
    <t>LARGE</t>
  </si>
  <si>
    <t>Define name range</t>
  </si>
  <si>
    <t>creating</t>
  </si>
  <si>
    <t>rename</t>
  </si>
  <si>
    <t>create from selection</t>
  </si>
  <si>
    <t>deleting name range</t>
  </si>
  <si>
    <t>use name range in workbooks create from selection</t>
  </si>
  <si>
    <t>Count Functions</t>
  </si>
  <si>
    <t>Count</t>
  </si>
  <si>
    <t>Counta</t>
  </si>
  <si>
    <t>CountBlank</t>
  </si>
  <si>
    <t>CountIf</t>
  </si>
  <si>
    <t>Permut</t>
  </si>
  <si>
    <t>Combin</t>
  </si>
  <si>
    <t>StatisticaL Functions</t>
  </si>
  <si>
    <t>sumif</t>
  </si>
  <si>
    <t>countif</t>
  </si>
  <si>
    <t>averageif</t>
  </si>
  <si>
    <t>sumifs</t>
  </si>
  <si>
    <t>countifs</t>
  </si>
  <si>
    <t>averageifs</t>
  </si>
  <si>
    <t>Days</t>
  </si>
  <si>
    <t>Numbers</t>
  </si>
  <si>
    <t>Mon</t>
  </si>
  <si>
    <t>Tue</t>
  </si>
  <si>
    <t>Wed</t>
  </si>
  <si>
    <t>Thu</t>
  </si>
  <si>
    <t>Fri</t>
  </si>
  <si>
    <t>Sat</t>
  </si>
  <si>
    <t>Sun</t>
  </si>
  <si>
    <t>SUMPRODUCT</t>
  </si>
  <si>
    <t>MROUND</t>
  </si>
  <si>
    <t>FLOOR</t>
  </si>
  <si>
    <t>CEILING</t>
  </si>
  <si>
    <t>MOD</t>
  </si>
  <si>
    <t>QUOTIENT</t>
  </si>
  <si>
    <t>Top Products</t>
  </si>
  <si>
    <t>VLOOKUP &amp; Data Validation</t>
  </si>
  <si>
    <t>VLOOKUP &amp; Name Range</t>
  </si>
  <si>
    <t>Sales_amount</t>
  </si>
  <si>
    <t>Product_Name</t>
  </si>
  <si>
    <t>Commision paid</t>
  </si>
  <si>
    <t>sales_done</t>
  </si>
  <si>
    <t>commisiom paif</t>
  </si>
  <si>
    <t>Formulas</t>
  </si>
  <si>
    <t>g</t>
  </si>
  <si>
    <t>fs</t>
  </si>
  <si>
    <t>sdf</t>
  </si>
  <si>
    <t>ds</t>
  </si>
  <si>
    <t>fsd</t>
  </si>
  <si>
    <t>mayank'</t>
  </si>
  <si>
    <t>permutationa</t>
  </si>
  <si>
    <t>combina</t>
  </si>
  <si>
    <t>With repitition</t>
  </si>
  <si>
    <t>sum,count,average of the no whose name is A.</t>
  </si>
  <si>
    <t>sum</t>
  </si>
  <si>
    <t>count</t>
  </si>
  <si>
    <t>avg</t>
  </si>
  <si>
    <t>using sumif</t>
  </si>
  <si>
    <t>using countif</t>
  </si>
  <si>
    <t>using averageif</t>
  </si>
  <si>
    <t>sum,count, average of the no who are less than 20.</t>
  </si>
  <si>
    <t>sum,COUNT,AVERAGE of the no jo no&lt;23 and sath naam ='c'</t>
  </si>
  <si>
    <t>.</t>
  </si>
  <si>
    <t>PRODUCT</t>
  </si>
  <si>
    <t>unit price</t>
  </si>
  <si>
    <t>b</t>
  </si>
  <si>
    <t>c</t>
  </si>
  <si>
    <t>Total sales</t>
  </si>
  <si>
    <t>Mround</t>
  </si>
  <si>
    <t>ROUND</t>
  </si>
  <si>
    <t>ROUNDUP</t>
  </si>
  <si>
    <t>ROUNDDOWN</t>
  </si>
  <si>
    <t>charger</t>
  </si>
  <si>
    <t>chair</t>
  </si>
  <si>
    <t>mobile</t>
  </si>
  <si>
    <t>VLOOKUP</t>
  </si>
  <si>
    <t>VLOOKUP &amp; Trim</t>
  </si>
  <si>
    <t xml:space="preserve">    chair</t>
  </si>
  <si>
    <t>when unwanted space is there in lookup value</t>
  </si>
  <si>
    <t>when unwanted space is there in table</t>
  </si>
  <si>
    <t xml:space="preserve">  Chair</t>
  </si>
  <si>
    <t>crl+shift+enter to run trim for the tables</t>
  </si>
  <si>
    <t>HLOOKUP</t>
  </si>
  <si>
    <t>HORIZONTAL</t>
  </si>
  <si>
    <t>TOP PRODUCTS</t>
  </si>
  <si>
    <t>MOBILE</t>
  </si>
  <si>
    <t>LAPTOP</t>
  </si>
  <si>
    <t>CHARGER</t>
  </si>
  <si>
    <t>CHAIR</t>
  </si>
  <si>
    <t>TABLE</t>
  </si>
  <si>
    <t>BAG</t>
  </si>
  <si>
    <t>PRODUCT CODE</t>
  </si>
  <si>
    <t>QUANTITY</t>
  </si>
  <si>
    <t>PRICE</t>
  </si>
  <si>
    <t>100-2UHI-7890</t>
  </si>
  <si>
    <t>123-2WSC-123</t>
  </si>
  <si>
    <t>124-QAZ-123</t>
  </si>
  <si>
    <t>145-RFB-123</t>
  </si>
  <si>
    <t>127-PKN-298</t>
  </si>
  <si>
    <t>198-OJN-123</t>
  </si>
  <si>
    <t>Top product</t>
  </si>
  <si>
    <t>VLOOKUP RULES:-</t>
  </si>
  <si>
    <t>Lookup value should be unique in the column</t>
  </si>
  <si>
    <t>you can find values from left to right</t>
  </si>
  <si>
    <t>lookup values should be belong to first column of table array</t>
  </si>
  <si>
    <t>LOOKUP Function</t>
  </si>
  <si>
    <t>Income</t>
  </si>
  <si>
    <t>Tax</t>
  </si>
  <si>
    <t>VLOOKUP FULL RECORD</t>
  </si>
  <si>
    <t>qwe</t>
  </si>
  <si>
    <t>wqe</t>
  </si>
  <si>
    <t>rew</t>
  </si>
  <si>
    <t>qer</t>
  </si>
  <si>
    <t>ewq</t>
  </si>
  <si>
    <t>weq</t>
  </si>
  <si>
    <t>Prerequisite is Match Function</t>
  </si>
  <si>
    <t>INDEX FUNCTION</t>
  </si>
  <si>
    <t>Value</t>
  </si>
  <si>
    <t>Serial Number</t>
  </si>
  <si>
    <t>To find the value by index no.</t>
  </si>
  <si>
    <t>RIBBON</t>
  </si>
  <si>
    <t>TABS</t>
  </si>
  <si>
    <t>GROUPS</t>
  </si>
  <si>
    <t>FORMULA BAR</t>
  </si>
  <si>
    <t>ADDRESS/NAME BAR/BOX</t>
  </si>
  <si>
    <t>DIALOG BOX</t>
  </si>
  <si>
    <t xml:space="preserve">  </t>
  </si>
  <si>
    <t xml:space="preserve">rename the sheet </t>
  </si>
  <si>
    <t>alt+r</t>
  </si>
  <si>
    <t>TABS AND GROUPS</t>
  </si>
  <si>
    <t>CREATE TABS</t>
  </si>
  <si>
    <t>CREATE GROUPS</t>
  </si>
  <si>
    <t>RENAME TABS</t>
  </si>
  <si>
    <t>RENAME GROUPS</t>
  </si>
  <si>
    <t>DELETE TABS</t>
  </si>
  <si>
    <t>DELETE GROUPS</t>
  </si>
  <si>
    <t xml:space="preserve"> CTRL+H</t>
  </si>
  <si>
    <t xml:space="preserve">FIND </t>
  </si>
  <si>
    <t>CTRL+F</t>
  </si>
  <si>
    <t>EDITING DATA</t>
  </si>
  <si>
    <t>OVER WRITING/EDITING CELL CONTENT</t>
  </si>
  <si>
    <t>USING UNDO/REDO</t>
  </si>
  <si>
    <t>DIFF/EDIT BTW FORMULA AND FUNCTION</t>
  </si>
  <si>
    <t>CTRL+Z,CTRL+Y</t>
  </si>
  <si>
    <t>CTRL+G</t>
  </si>
  <si>
    <t>GOTO (SPECIALL ALSO)</t>
  </si>
  <si>
    <t>FORMATTING TEXT</t>
  </si>
  <si>
    <t>CHARACTERISTICS OF THE CELL</t>
  </si>
  <si>
    <t>POSITION OF BOOLEAN/NUMERICAL/RIGHT</t>
  </si>
  <si>
    <t>DRAG AND DROP/CTRL ENTER</t>
  </si>
  <si>
    <t>OR CTRL +ENTER</t>
  </si>
  <si>
    <t>F4 TO LOCK THE CELL</t>
  </si>
  <si>
    <t>SPEAK CELLS</t>
  </si>
  <si>
    <t>BY ROWS</t>
  </si>
  <si>
    <t>BY COLLUMNS</t>
  </si>
  <si>
    <t>SPEAK CELLS TO ENTER</t>
  </si>
  <si>
    <t>BY DEFAULT HORIZONTAL MANNER</t>
  </si>
  <si>
    <t>RAM</t>
  </si>
  <si>
    <t>SHAYAM</t>
  </si>
  <si>
    <t>SANYAM</t>
  </si>
  <si>
    <t>PRIYAM</t>
  </si>
  <si>
    <t>MARIYAM</t>
  </si>
  <si>
    <t>NAMES</t>
  </si>
  <si>
    <t>RAM@SHARMA</t>
  </si>
  <si>
    <t>RAVI@SHAYAMA</t>
  </si>
  <si>
    <t>ROHIT@GOYAL</t>
  </si>
  <si>
    <t>TRANSFORM/ADD COLUMN</t>
  </si>
  <si>
    <t>COMMENTS INI EXCEL</t>
  </si>
  <si>
    <t>INSERT COMMMENTS</t>
  </si>
  <si>
    <t>EDIT COMMENTS</t>
  </si>
  <si>
    <t>DELETE COMMENTS</t>
  </si>
  <si>
    <t>SHOW ALL COMMENTS</t>
  </si>
  <si>
    <t>REVIEW--&gt; COMMENT</t>
  </si>
  <si>
    <t>SHIT+F2</t>
  </si>
  <si>
    <t>SHIFT+F2&gt; ESC&gt;DELETE</t>
  </si>
  <si>
    <t>SHIFT+F2</t>
  </si>
  <si>
    <t>COPYING AND FILLING TRICKS</t>
  </si>
  <si>
    <t>COPY</t>
  </si>
  <si>
    <t>PASTE</t>
  </si>
  <si>
    <t>PASTE SPECIAL</t>
  </si>
  <si>
    <t>COPYING CELLS TO ON/MANY CELLS</t>
  </si>
  <si>
    <t>USING FILLS FOR QUICK COPYING</t>
  </si>
  <si>
    <t>NAAM</t>
  </si>
  <si>
    <t>KAAM</t>
  </si>
  <si>
    <t>PAISA</t>
  </si>
  <si>
    <t>NAUKRI</t>
  </si>
  <si>
    <t>BUSINESS</t>
  </si>
  <si>
    <t>TEACHER</t>
  </si>
  <si>
    <t>GOVT</t>
  </si>
  <si>
    <t>COPY IN DIFF SHEETS</t>
  </si>
  <si>
    <t>FILL SERIES</t>
  </si>
  <si>
    <t>DRAG DOWN</t>
  </si>
  <si>
    <t>FILL DRAG NO</t>
  </si>
  <si>
    <t>FILL DRAG MONTHS</t>
  </si>
  <si>
    <t>FILL DRAG DAYS</t>
  </si>
  <si>
    <t>DILL DRAG CUSTOM LIST</t>
  </si>
  <si>
    <t>FILL DOWN,RIGHT,LEFT.TOP</t>
  </si>
  <si>
    <t>FILE&gt;OPTIONS&gt;ADVANCED&gt;EDIT CUSTOM LIST</t>
  </si>
  <si>
    <t>CTRL+D,CTRL+R</t>
  </si>
  <si>
    <t>Rak</t>
  </si>
  <si>
    <t>shyak</t>
  </si>
  <si>
    <t>kariyak</t>
  </si>
  <si>
    <t>jhfdjhfxyr</t>
  </si>
  <si>
    <t>bhopal</t>
  </si>
  <si>
    <t>laptop</t>
  </si>
  <si>
    <t>watch</t>
  </si>
  <si>
    <t>shoes</t>
  </si>
  <si>
    <t>price</t>
  </si>
  <si>
    <t>total price</t>
  </si>
  <si>
    <t>Product</t>
  </si>
  <si>
    <t>percentage</t>
  </si>
  <si>
    <t>indore</t>
  </si>
  <si>
    <t>delhi</t>
  </si>
  <si>
    <t>ramaaaaaa</t>
  </si>
  <si>
    <t>HIDING/UNHIDING WORKSHEETS</t>
  </si>
  <si>
    <t>FREEZING PANES</t>
  </si>
  <si>
    <t>VIEW&gt;</t>
  </si>
  <si>
    <t>SPLITTIG WINDOWS FOR COMPARING COLUMNS</t>
  </si>
  <si>
    <t>WOKING WTH THE SHEETS</t>
  </si>
  <si>
    <t>EDITING IN GROUP</t>
  </si>
  <si>
    <t>VIEW&gt;&gt;&gt; NEW WINDOW &gt;&gt;VIEW SIDE BY SIDE</t>
  </si>
  <si>
    <t>PRODUCT -ID</t>
  </si>
  <si>
    <t>SUNDAY</t>
  </si>
  <si>
    <t>MONDAY</t>
  </si>
  <si>
    <t>TUESDAY</t>
  </si>
  <si>
    <t>WEDNESDAY</t>
  </si>
  <si>
    <t>THURSDAY</t>
  </si>
  <si>
    <t>FRIDAY</t>
  </si>
  <si>
    <t>SATURDAY</t>
  </si>
  <si>
    <t>LAST 2 CHAR</t>
  </si>
  <si>
    <t>AY</t>
  </si>
  <si>
    <t>NEXT 4 EXCEPT 1</t>
  </si>
  <si>
    <t>UNDA</t>
  </si>
  <si>
    <t>ONDA</t>
  </si>
  <si>
    <t>UESD</t>
  </si>
  <si>
    <t>EDNE</t>
  </si>
  <si>
    <t>HURS</t>
  </si>
  <si>
    <t>RIDA</t>
  </si>
  <si>
    <t>ATUR</t>
  </si>
  <si>
    <t>JAN</t>
  </si>
  <si>
    <t>FEB</t>
  </si>
  <si>
    <t>MAR</t>
  </si>
  <si>
    <t>APR</t>
  </si>
  <si>
    <t>LOSSD</t>
  </si>
  <si>
    <t>BHOPAL</t>
  </si>
  <si>
    <t>INDORE</t>
  </si>
  <si>
    <t>GOA</t>
  </si>
  <si>
    <t>DELHI</t>
  </si>
  <si>
    <t>NOIDA</t>
  </si>
  <si>
    <t>GWALIOR</t>
  </si>
  <si>
    <t>UJJAIN</t>
  </si>
  <si>
    <t>VIDISHA</t>
  </si>
  <si>
    <t>TOTAL PRICE</t>
  </si>
  <si>
    <t>logical operators</t>
  </si>
  <si>
    <t>and</t>
  </si>
  <si>
    <t>or</t>
  </si>
  <si>
    <t>not</t>
  </si>
  <si>
    <t>marks1</t>
  </si>
  <si>
    <t>marks2</t>
  </si>
  <si>
    <t>COMPARING</t>
  </si>
  <si>
    <t>EQUAL TO</t>
  </si>
  <si>
    <t>NOT EQUAL TP</t>
  </si>
  <si>
    <t>LESS THAN EQUAL TP</t>
  </si>
  <si>
    <t>SALES1</t>
  </si>
  <si>
    <t>SALES2</t>
  </si>
  <si>
    <t>ANS</t>
  </si>
  <si>
    <t>age</t>
  </si>
  <si>
    <t>AGE_CATEGORY</t>
  </si>
  <si>
    <t>AGE&lt;18</t>
  </si>
  <si>
    <t>TEEN</t>
  </si>
  <si>
    <t>ADULT</t>
  </si>
  <si>
    <t>55&gt;AGE&gt;=18</t>
  </si>
  <si>
    <t>AGE&gt;55</t>
  </si>
  <si>
    <t>SENIOR</t>
  </si>
  <si>
    <t>marks3</t>
  </si>
  <si>
    <t>DATA_NUMBER</t>
  </si>
  <si>
    <t>IF_ERROR</t>
  </si>
  <si>
    <t>AGE</t>
  </si>
  <si>
    <t>DOB</t>
  </si>
  <si>
    <t>TOTAL_WORKING_DAYS</t>
  </si>
  <si>
    <t>WRKING_DAYS_INTRNL</t>
  </si>
  <si>
    <t>JOINING DATE</t>
  </si>
  <si>
    <t>WORKING DAYS</t>
  </si>
  <si>
    <t>WRKING_DAYS_INTL</t>
  </si>
  <si>
    <t>NATINAL HOLIDAY</t>
  </si>
  <si>
    <t>PRODUCT_ID</t>
  </si>
  <si>
    <t>VLOOKUP WITH TRIM</t>
  </si>
  <si>
    <t>ID</t>
  </si>
  <si>
    <t>MARKS</t>
  </si>
  <si>
    <t>NAME</t>
  </si>
  <si>
    <t>CITY</t>
  </si>
  <si>
    <t>M</t>
  </si>
  <si>
    <t>N</t>
  </si>
  <si>
    <t>V</t>
  </si>
  <si>
    <t>ROW_NO</t>
  </si>
  <si>
    <t>COL_NO</t>
  </si>
  <si>
    <t>VALUE</t>
  </si>
  <si>
    <t>Position _Number</t>
  </si>
  <si>
    <t>unlock 10 cells and lock entire sheet</t>
  </si>
  <si>
    <t>select 10 cells</t>
  </si>
  <si>
    <t>unlock 10 cells</t>
  </si>
  <si>
    <t>protect sheet</t>
  </si>
  <si>
    <t>lock 10 cells and unlock entire sheet</t>
  </si>
  <si>
    <t>select entire sheet</t>
  </si>
  <si>
    <t>unloak entire sheet</t>
  </si>
  <si>
    <t>xs</t>
  </si>
  <si>
    <t>SELLER NAME</t>
  </si>
  <si>
    <t>T</t>
  </si>
  <si>
    <t>product_id</t>
  </si>
  <si>
    <t>seleler</t>
  </si>
  <si>
    <t>sold quantity</t>
  </si>
  <si>
    <t>z1</t>
  </si>
  <si>
    <t>CTRL+F3</t>
  </si>
  <si>
    <t>S</t>
  </si>
  <si>
    <t>VBA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</si>
</sst>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4" formatCode="_(&quot;$&quot;* #,##0.00_);_(&quot;$&quot;* \(#,##0.00\);_(&quot;$&quot;* &quot;-&quot;??_);_(@_)"/>
    <numFmt numFmtId="164" formatCode="[$-F800]dddd\,\ mmmm\ dd\,\ yyyy"/>
    <numFmt numFmtId="165" formatCode="yyyy"/>
    <numFmt numFmtId="166" formatCode="d/m/yyyy"/>
  </numFmts>
  <fonts count="36">
    <font>
      <sz val="11"/>
      <color theme="1"/>
      <name val="Calibri"/>
      <family val="2"/>
      <scheme val="minor"/>
    </font>
    <font>
      <sz val="11"/>
      <color theme="0" tint="-4.9989318521683403E-2"/>
      <name val="Calibri"/>
      <family val="2"/>
      <scheme val="minor"/>
    </font>
    <font>
      <b/>
      <sz val="11"/>
      <color theme="0" tint="-4.9989318521683403E-2"/>
      <name val="Calibri"/>
      <family val="2"/>
      <scheme val="minor"/>
    </font>
    <font>
      <b/>
      <sz val="11"/>
      <color rgb="FF002060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0" tint="-4.9989318521683403E-2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6"/>
      <color theme="0" tint="-4.9989318521683403E-2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2"/>
      <color theme="0" tint="-0.1499984740745262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0" tint="-0.14999847407452621"/>
      <name val="Calibri"/>
      <family val="2"/>
      <scheme val="minor"/>
    </font>
    <font>
      <b/>
      <sz val="18"/>
      <color theme="0" tint="-0.1499984740745262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8"/>
      <color theme="0" tint="-4.9989318521683403E-2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0" tint="-4.9989318521683403E-2"/>
      <name val="Calibri"/>
      <family val="2"/>
      <scheme val="minor"/>
    </font>
    <font>
      <sz val="12"/>
      <color theme="0" tint="-4.9989318521683403E-2"/>
      <name val="Calibri"/>
      <family val="2"/>
      <scheme val="minor"/>
    </font>
    <font>
      <b/>
      <sz val="11"/>
      <color theme="0" tint="-0.1499984740745262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1"/>
      <color rgb="FFFFFF00"/>
      <name val="Calibri"/>
      <family val="2"/>
      <scheme val="minor"/>
    </font>
    <font>
      <b/>
      <sz val="18"/>
      <color rgb="FFFFFF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1"/>
      <color theme="2"/>
      <name val="Calibri"/>
      <family val="2"/>
      <scheme val="minor"/>
    </font>
    <font>
      <sz val="10"/>
      <color theme="1"/>
      <name val="Open Sans"/>
    </font>
    <font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58085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44" fontId="20" fillId="0" borderId="0" applyFont="0" applyFill="0" applyBorder="0" applyAlignment="0" applyProtection="0"/>
    <xf numFmtId="0" fontId="32" fillId="0" borderId="0" applyNumberFormat="0" applyFill="0" applyBorder="0" applyAlignment="0" applyProtection="0"/>
  </cellStyleXfs>
  <cellXfs count="111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3" borderId="0" xfId="0" applyFont="1" applyFill="1"/>
    <xf numFmtId="0" fontId="0" fillId="0" borderId="0" xfId="0" applyFill="1"/>
    <xf numFmtId="0" fontId="2" fillId="0" borderId="0" xfId="0" applyFont="1" applyFill="1"/>
    <xf numFmtId="0" fontId="0" fillId="5" borderId="0" xfId="0" applyFill="1" applyAlignment="1">
      <alignment horizontal="center"/>
    </xf>
    <xf numFmtId="0" fontId="5" fillId="4" borderId="0" xfId="0" applyFont="1" applyFill="1" applyAlignment="1"/>
    <xf numFmtId="0" fontId="0" fillId="0" borderId="0" xfId="0" applyAlignment="1">
      <alignment horizontal="left"/>
    </xf>
    <xf numFmtId="0" fontId="0" fillId="6" borderId="1" xfId="0" applyFill="1" applyBorder="1" applyAlignment="1">
      <alignment horizontal="left"/>
    </xf>
    <xf numFmtId="0" fontId="0" fillId="6" borderId="2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6" borderId="4" xfId="0" applyFill="1" applyBorder="1" applyAlignment="1">
      <alignment horizontal="left"/>
    </xf>
    <xf numFmtId="0" fontId="0" fillId="6" borderId="5" xfId="0" applyFill="1" applyBorder="1" applyAlignment="1">
      <alignment horizontal="left"/>
    </xf>
    <xf numFmtId="0" fontId="0" fillId="6" borderId="6" xfId="0" applyFill="1" applyBorder="1" applyAlignment="1">
      <alignment horizontal="left"/>
    </xf>
    <xf numFmtId="0" fontId="6" fillId="2" borderId="0" xfId="0" applyFont="1" applyFill="1"/>
    <xf numFmtId="0" fontId="0" fillId="4" borderId="7" xfId="0" applyFill="1" applyBorder="1"/>
    <xf numFmtId="0" fontId="0" fillId="4" borderId="8" xfId="0" applyFill="1" applyBorder="1"/>
    <xf numFmtId="0" fontId="0" fillId="4" borderId="9" xfId="0" applyFill="1" applyBorder="1"/>
    <xf numFmtId="0" fontId="0" fillId="0" borderId="0" xfId="0" applyFont="1"/>
    <xf numFmtId="0" fontId="0" fillId="5" borderId="0" xfId="0" applyFill="1" applyAlignment="1"/>
    <xf numFmtId="0" fontId="0" fillId="0" borderId="0" xfId="0" applyFill="1" applyAlignment="1"/>
    <xf numFmtId="0" fontId="3" fillId="7" borderId="0" xfId="0" applyFont="1" applyFill="1"/>
    <xf numFmtId="0" fontId="8" fillId="2" borderId="0" xfId="0" applyFont="1" applyFill="1"/>
    <xf numFmtId="0" fontId="9" fillId="0" borderId="0" xfId="0" applyFont="1"/>
    <xf numFmtId="0" fontId="9" fillId="4" borderId="0" xfId="0" applyFont="1" applyFill="1"/>
    <xf numFmtId="0" fontId="10" fillId="2" borderId="0" xfId="0" applyFont="1" applyFill="1"/>
    <xf numFmtId="0" fontId="0" fillId="4" borderId="0" xfId="0" applyFill="1"/>
    <xf numFmtId="0" fontId="0" fillId="7" borderId="0" xfId="0" applyFill="1"/>
    <xf numFmtId="14" fontId="0" fillId="0" borderId="0" xfId="0" applyNumberFormat="1"/>
    <xf numFmtId="0" fontId="12" fillId="2" borderId="0" xfId="0" applyFont="1" applyFill="1"/>
    <xf numFmtId="0" fontId="13" fillId="5" borderId="0" xfId="0" applyFont="1" applyFill="1"/>
    <xf numFmtId="0" fontId="0" fillId="5" borderId="0" xfId="0" applyFill="1"/>
    <xf numFmtId="0" fontId="11" fillId="0" borderId="0" xfId="0" applyFont="1"/>
    <xf numFmtId="0" fontId="14" fillId="2" borderId="0" xfId="0" applyFont="1" applyFill="1"/>
    <xf numFmtId="0" fontId="15" fillId="2" borderId="0" xfId="0" applyFont="1" applyFill="1"/>
    <xf numFmtId="0" fontId="11" fillId="4" borderId="0" xfId="0" applyFont="1" applyFill="1"/>
    <xf numFmtId="0" fontId="11" fillId="8" borderId="0" xfId="0" applyFont="1" applyFill="1"/>
    <xf numFmtId="0" fontId="16" fillId="2" borderId="0" xfId="0" applyFont="1" applyFill="1"/>
    <xf numFmtId="0" fontId="18" fillId="0" borderId="0" xfId="0" applyFont="1"/>
    <xf numFmtId="0" fontId="19" fillId="2" borderId="0" xfId="0" applyFont="1" applyFill="1"/>
    <xf numFmtId="0" fontId="0" fillId="9" borderId="10" xfId="0" applyFill="1" applyBorder="1"/>
    <xf numFmtId="0" fontId="0" fillId="9" borderId="0" xfId="0" applyFill="1"/>
    <xf numFmtId="0" fontId="17" fillId="5" borderId="0" xfId="0" applyFont="1" applyFill="1"/>
    <xf numFmtId="44" fontId="0" fillId="5" borderId="0" xfId="1" applyFont="1" applyFill="1"/>
    <xf numFmtId="0" fontId="21" fillId="10" borderId="0" xfId="0" applyFont="1" applyFill="1"/>
    <xf numFmtId="18" fontId="0" fillId="0" borderId="0" xfId="0" applyNumberFormat="1"/>
    <xf numFmtId="0" fontId="22" fillId="4" borderId="0" xfId="0" applyFont="1" applyFill="1"/>
    <xf numFmtId="0" fontId="23" fillId="2" borderId="0" xfId="0" applyFont="1" applyFill="1"/>
    <xf numFmtId="0" fontId="24" fillId="2" borderId="0" xfId="0" applyFont="1" applyFill="1"/>
    <xf numFmtId="0" fontId="22" fillId="0" borderId="0" xfId="0" applyFont="1"/>
    <xf numFmtId="0" fontId="4" fillId="0" borderId="0" xfId="0" applyFont="1"/>
    <xf numFmtId="0" fontId="0" fillId="0" borderId="0" xfId="0" applyFont="1" applyFill="1"/>
    <xf numFmtId="0" fontId="0" fillId="0" borderId="0" xfId="0" applyBorder="1"/>
    <xf numFmtId="0" fontId="19" fillId="2" borderId="0" xfId="0" applyFont="1" applyFill="1" applyBorder="1"/>
    <xf numFmtId="0" fontId="18" fillId="0" borderId="0" xfId="0" applyFont="1" applyBorder="1"/>
    <xf numFmtId="0" fontId="11" fillId="11" borderId="0" xfId="0" applyFont="1" applyFill="1"/>
    <xf numFmtId="0" fontId="25" fillId="2" borderId="0" xfId="0" applyFont="1" applyFill="1"/>
    <xf numFmtId="0" fontId="0" fillId="0" borderId="0" xfId="0" quotePrefix="1"/>
    <xf numFmtId="0" fontId="0" fillId="12" borderId="0" xfId="0" applyFill="1"/>
    <xf numFmtId="0" fontId="2" fillId="13" borderId="0" xfId="0" applyFont="1" applyFill="1"/>
    <xf numFmtId="0" fontId="16" fillId="14" borderId="0" xfId="0" applyFont="1" applyFill="1"/>
    <xf numFmtId="0" fontId="2" fillId="12" borderId="0" xfId="0" applyFont="1" applyFill="1"/>
    <xf numFmtId="0" fontId="30" fillId="16" borderId="0" xfId="0" applyFont="1" applyFill="1"/>
    <xf numFmtId="0" fontId="31" fillId="16" borderId="0" xfId="0" applyFont="1" applyFill="1"/>
    <xf numFmtId="0" fontId="1" fillId="16" borderId="0" xfId="0" applyFont="1" applyFill="1"/>
    <xf numFmtId="0" fontId="30" fillId="0" borderId="0" xfId="0" applyFont="1" applyFill="1"/>
    <xf numFmtId="0" fontId="0" fillId="0" borderId="1" xfId="0" applyBorder="1"/>
    <xf numFmtId="0" fontId="0" fillId="0" borderId="1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12" xfId="0" applyBorder="1"/>
    <xf numFmtId="0" fontId="0" fillId="0" borderId="6" xfId="0" applyBorder="1"/>
    <xf numFmtId="0" fontId="6" fillId="15" borderId="0" xfId="0" applyFont="1" applyFill="1"/>
    <xf numFmtId="0" fontId="8" fillId="15" borderId="0" xfId="0" applyFont="1" applyFill="1"/>
    <xf numFmtId="0" fontId="32" fillId="0" borderId="0" xfId="2"/>
    <xf numFmtId="0" fontId="0" fillId="18" borderId="0" xfId="0" applyFill="1"/>
    <xf numFmtId="0" fontId="33" fillId="17" borderId="0" xfId="0" applyFont="1" applyFill="1"/>
    <xf numFmtId="17" fontId="0" fillId="0" borderId="0" xfId="0" applyNumberFormat="1"/>
    <xf numFmtId="0" fontId="0" fillId="0" borderId="0" xfId="0" applyNumberFormat="1"/>
    <xf numFmtId="0" fontId="0" fillId="11" borderId="0" xfId="0" applyFill="1"/>
    <xf numFmtId="0" fontId="9" fillId="4" borderId="0" xfId="0" applyFont="1" applyFill="1" applyAlignment="1"/>
    <xf numFmtId="0" fontId="0" fillId="8" borderId="0" xfId="0" applyFill="1"/>
    <xf numFmtId="0" fontId="0" fillId="3" borderId="0" xfId="0" applyFill="1"/>
    <xf numFmtId="0" fontId="0" fillId="19" borderId="0" xfId="0" applyFill="1"/>
    <xf numFmtId="22" fontId="0" fillId="0" borderId="0" xfId="0" applyNumberFormat="1"/>
    <xf numFmtId="164" fontId="0" fillId="0" borderId="0" xfId="0" applyNumberFormat="1"/>
    <xf numFmtId="165" fontId="0" fillId="0" borderId="0" xfId="0" applyNumberFormat="1"/>
    <xf numFmtId="15" fontId="0" fillId="0" borderId="0" xfId="0" applyNumberFormat="1"/>
    <xf numFmtId="0" fontId="34" fillId="0" borderId="0" xfId="0" applyFont="1" applyAlignment="1">
      <alignment horizontal="left"/>
    </xf>
    <xf numFmtId="0" fontId="34" fillId="0" borderId="0" xfId="0" quotePrefix="1" applyFont="1" applyAlignment="1">
      <alignment horizontal="left"/>
    </xf>
    <xf numFmtId="166" fontId="34" fillId="0" borderId="0" xfId="0" applyNumberFormat="1" applyFont="1"/>
    <xf numFmtId="0" fontId="34" fillId="0" borderId="0" xfId="0" quotePrefix="1" applyFont="1"/>
    <xf numFmtId="166" fontId="0" fillId="0" borderId="0" xfId="0" applyNumberFormat="1"/>
    <xf numFmtId="15" fontId="34" fillId="0" borderId="0" xfId="0" quotePrefix="1" applyNumberFormat="1" applyFont="1"/>
    <xf numFmtId="2" fontId="35" fillId="0" borderId="0" xfId="0" applyNumberFormat="1" applyFont="1"/>
    <xf numFmtId="0" fontId="34" fillId="0" borderId="0" xfId="0" applyNumberFormat="1" applyFont="1"/>
    <xf numFmtId="14" fontId="34" fillId="0" borderId="0" xfId="0" applyNumberFormat="1" applyFont="1" applyAlignment="1">
      <alignment horizontal="left"/>
    </xf>
    <xf numFmtId="0" fontId="34" fillId="0" borderId="0" xfId="0" quotePrefix="1" applyNumberFormat="1" applyFont="1"/>
    <xf numFmtId="0" fontId="18" fillId="11" borderId="0" xfId="0" applyFont="1" applyFill="1"/>
    <xf numFmtId="0" fontId="2" fillId="2" borderId="0" xfId="0" applyFont="1" applyFill="1" applyProtection="1">
      <protection locked="0"/>
    </xf>
    <xf numFmtId="0" fontId="0" fillId="0" borderId="0" xfId="0" applyProtection="1">
      <protection locked="0"/>
    </xf>
    <xf numFmtId="0" fontId="0" fillId="11" borderId="0" xfId="0" applyFill="1" applyProtection="1">
      <protection locked="0"/>
    </xf>
    <xf numFmtId="0" fontId="2" fillId="2" borderId="0" xfId="0" applyFont="1" applyFill="1" applyProtection="1"/>
    <xf numFmtId="0" fontId="7" fillId="7" borderId="0" xfId="0" applyFont="1" applyFill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9" fillId="0" borderId="0" xfId="0" applyFont="1" applyAlignment="1">
      <alignment horizontal="center"/>
    </xf>
    <xf numFmtId="0" fontId="9" fillId="4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3">
    <cellStyle name="Currency" xfId="1" builtinId="4"/>
    <cellStyle name="Hyperlink" xfId="2" builtinId="8"/>
    <cellStyle name="Normal" xfId="0" builtinId="0"/>
  </cellStyles>
  <dxfs count="2">
    <dxf>
      <fill>
        <patternFill>
          <bgColor rgb="FF7030A0"/>
        </patternFill>
      </fill>
    </dxf>
    <dxf>
      <fill>
        <patternFill>
          <bgColor rgb="FF7030A0"/>
        </patternFill>
      </fill>
    </dxf>
  </dxfs>
  <tableStyles count="0" defaultTableStyle="TableStyleMedium2" defaultPivotStyle="PivotStyleLight16"/>
  <colors>
    <mruColors>
      <color rgb="FF5808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4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.bin"/><Relationship Id="rId7" Type="http://schemas.openxmlformats.org/officeDocument/2006/relationships/printerSettings" Target="../printerSettings/printerSettings8.bin"/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Relationship Id="rId6" Type="http://schemas.openxmlformats.org/officeDocument/2006/relationships/hyperlink" Target="mailto:ROHIT@GOYAL" TargetMode="External"/><Relationship Id="rId5" Type="http://schemas.openxmlformats.org/officeDocument/2006/relationships/hyperlink" Target="mailto:RAVI@SHAYAMA" TargetMode="External"/><Relationship Id="rId4" Type="http://schemas.openxmlformats.org/officeDocument/2006/relationships/hyperlink" Target="mailto:RAM@SHARMA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2.bin"/><Relationship Id="rId2" Type="http://schemas.openxmlformats.org/officeDocument/2006/relationships/printerSettings" Target="../printerSettings/printerSettings11.bin"/><Relationship Id="rId1" Type="http://schemas.openxmlformats.org/officeDocument/2006/relationships/printerSettings" Target="../printerSettings/printerSettings10.bin"/><Relationship Id="rId4" Type="http://schemas.openxmlformats.org/officeDocument/2006/relationships/printerSettings" Target="../printerSettings/printerSettings13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6.bin"/><Relationship Id="rId2" Type="http://schemas.openxmlformats.org/officeDocument/2006/relationships/printerSettings" Target="../printerSettings/printerSettings15.bin"/><Relationship Id="rId1" Type="http://schemas.openxmlformats.org/officeDocument/2006/relationships/printerSettings" Target="../printerSettings/printerSettings14.bin"/><Relationship Id="rId4" Type="http://schemas.openxmlformats.org/officeDocument/2006/relationships/printerSettings" Target="../printerSettings/printerSettings17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0.bin"/><Relationship Id="rId2" Type="http://schemas.openxmlformats.org/officeDocument/2006/relationships/printerSettings" Target="../printerSettings/printerSettings19.bin"/><Relationship Id="rId1" Type="http://schemas.openxmlformats.org/officeDocument/2006/relationships/printerSettings" Target="../printerSettings/printerSettings18.bin"/><Relationship Id="rId4" Type="http://schemas.openxmlformats.org/officeDocument/2006/relationships/printerSettings" Target="../printerSettings/printerSettings21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4.bin"/><Relationship Id="rId2" Type="http://schemas.openxmlformats.org/officeDocument/2006/relationships/printerSettings" Target="../printerSettings/printerSettings23.bin"/><Relationship Id="rId1" Type="http://schemas.openxmlformats.org/officeDocument/2006/relationships/printerSettings" Target="../printerSettings/printerSettings22.bin"/><Relationship Id="rId4" Type="http://schemas.openxmlformats.org/officeDocument/2006/relationships/printerSettings" Target="../printerSettings/printerSettings25.bin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8.bin"/><Relationship Id="rId2" Type="http://schemas.openxmlformats.org/officeDocument/2006/relationships/printerSettings" Target="../printerSettings/printerSettings27.bin"/><Relationship Id="rId1" Type="http://schemas.openxmlformats.org/officeDocument/2006/relationships/printerSettings" Target="../printerSettings/printerSettings26.bin"/><Relationship Id="rId4" Type="http://schemas.openxmlformats.org/officeDocument/2006/relationships/printerSettings" Target="../printerSettings/printerSettings29.bin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2.bin"/><Relationship Id="rId2" Type="http://schemas.openxmlformats.org/officeDocument/2006/relationships/printerSettings" Target="../printerSettings/printerSettings31.bin"/><Relationship Id="rId1" Type="http://schemas.openxmlformats.org/officeDocument/2006/relationships/printerSettings" Target="../printerSettings/printerSettings30.bin"/><Relationship Id="rId4" Type="http://schemas.openxmlformats.org/officeDocument/2006/relationships/printerSettings" Target="../printerSettings/printerSettings33.bin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6.bin"/><Relationship Id="rId2" Type="http://schemas.openxmlformats.org/officeDocument/2006/relationships/printerSettings" Target="../printerSettings/printerSettings35.bin"/><Relationship Id="rId1" Type="http://schemas.openxmlformats.org/officeDocument/2006/relationships/printerSettings" Target="../printerSettings/printerSettings34.bin"/><Relationship Id="rId4" Type="http://schemas.openxmlformats.org/officeDocument/2006/relationships/printerSettings" Target="../printerSettings/printerSettings37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3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2.bin"/><Relationship Id="rId2" Type="http://schemas.openxmlformats.org/officeDocument/2006/relationships/printerSettings" Target="../printerSettings/printerSettings41.bin"/><Relationship Id="rId1" Type="http://schemas.openxmlformats.org/officeDocument/2006/relationships/printerSettings" Target="../printerSettings/printerSettings40.bin"/><Relationship Id="rId6" Type="http://schemas.openxmlformats.org/officeDocument/2006/relationships/comments" Target="../comments1.xml"/><Relationship Id="rId5" Type="http://schemas.openxmlformats.org/officeDocument/2006/relationships/vmlDrawing" Target="../drawings/vmlDrawing1.vml"/><Relationship Id="rId4" Type="http://schemas.openxmlformats.org/officeDocument/2006/relationships/printerSettings" Target="../printerSettings/printerSettings43.bin"/></Relationships>
</file>

<file path=xl/worksheets/_rels/sheet3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6.bin"/><Relationship Id="rId2" Type="http://schemas.openxmlformats.org/officeDocument/2006/relationships/printerSettings" Target="../printerSettings/printerSettings45.bin"/><Relationship Id="rId1" Type="http://schemas.openxmlformats.org/officeDocument/2006/relationships/printerSettings" Target="../printerSettings/printerSettings44.bin"/><Relationship Id="rId4" Type="http://schemas.openxmlformats.org/officeDocument/2006/relationships/printerSettings" Target="../printerSettings/printerSettings47.bin"/></Relationships>
</file>

<file path=xl/worksheets/_rels/sheet3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0.bin"/><Relationship Id="rId2" Type="http://schemas.openxmlformats.org/officeDocument/2006/relationships/printerSettings" Target="../printerSettings/printerSettings49.bin"/><Relationship Id="rId1" Type="http://schemas.openxmlformats.org/officeDocument/2006/relationships/printerSettings" Target="../printerSettings/printerSettings48.bin"/><Relationship Id="rId6" Type="http://schemas.openxmlformats.org/officeDocument/2006/relationships/comments" Target="../comments2.xml"/><Relationship Id="rId5" Type="http://schemas.openxmlformats.org/officeDocument/2006/relationships/vmlDrawing" Target="../drawings/vmlDrawing2.vml"/><Relationship Id="rId4" Type="http://schemas.openxmlformats.org/officeDocument/2006/relationships/printerSettings" Target="../printerSettings/printerSettings51.bin"/></Relationships>
</file>

<file path=xl/worksheets/_rels/sheet3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4.bin"/><Relationship Id="rId2" Type="http://schemas.openxmlformats.org/officeDocument/2006/relationships/printerSettings" Target="../printerSettings/printerSettings53.bin"/><Relationship Id="rId1" Type="http://schemas.openxmlformats.org/officeDocument/2006/relationships/printerSettings" Target="../printerSettings/printerSettings52.bin"/><Relationship Id="rId6" Type="http://schemas.openxmlformats.org/officeDocument/2006/relationships/comments" Target="../comments3.xml"/><Relationship Id="rId5" Type="http://schemas.openxmlformats.org/officeDocument/2006/relationships/vmlDrawing" Target="../drawings/vmlDrawing3.vml"/><Relationship Id="rId4" Type="http://schemas.openxmlformats.org/officeDocument/2006/relationships/printerSettings" Target="../printerSettings/printerSettings55.bin"/></Relationships>
</file>

<file path=xl/worksheets/_rels/sheet3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8.bin"/><Relationship Id="rId2" Type="http://schemas.openxmlformats.org/officeDocument/2006/relationships/printerSettings" Target="../printerSettings/printerSettings57.bin"/><Relationship Id="rId1" Type="http://schemas.openxmlformats.org/officeDocument/2006/relationships/printerSettings" Target="../printerSettings/printerSettings56.bin"/><Relationship Id="rId4" Type="http://schemas.openxmlformats.org/officeDocument/2006/relationships/printerSettings" Target="../printerSettings/printerSettings5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4"/>
  <sheetViews>
    <sheetView zoomScale="205" zoomScaleNormal="205" workbookViewId="0">
      <selection activeCell="A42" sqref="A42"/>
    </sheetView>
  </sheetViews>
  <sheetFormatPr defaultRowHeight="14.5"/>
  <cols>
    <col min="1" max="1" width="34.26953125" bestFit="1" customWidth="1"/>
    <col min="2" max="2" width="13.26953125" bestFit="1" customWidth="1"/>
  </cols>
  <sheetData>
    <row r="1" spans="1:4" s="53" customFormat="1"/>
    <row r="2" spans="1:4">
      <c r="A2" t="s">
        <v>397</v>
      </c>
    </row>
    <row r="3" spans="1:4" s="53" customFormat="1">
      <c r="A3" s="53" t="s">
        <v>398</v>
      </c>
    </row>
    <row r="4" spans="1:4">
      <c r="A4" t="s">
        <v>399</v>
      </c>
    </row>
    <row r="5" spans="1:4">
      <c r="A5" t="s">
        <v>400</v>
      </c>
    </row>
    <row r="6" spans="1:4">
      <c r="A6" t="s">
        <v>401</v>
      </c>
    </row>
    <row r="7" spans="1:4">
      <c r="A7" t="s">
        <v>402</v>
      </c>
    </row>
    <row r="9" spans="1:4">
      <c r="A9" t="s">
        <v>404</v>
      </c>
      <c r="C9" t="s">
        <v>405</v>
      </c>
    </row>
    <row r="13" spans="1:4">
      <c r="A13" s="27" t="s">
        <v>406</v>
      </c>
    </row>
    <row r="14" spans="1:4">
      <c r="A14" t="s">
        <v>407</v>
      </c>
    </row>
    <row r="15" spans="1:4">
      <c r="A15" t="s">
        <v>408</v>
      </c>
    </row>
    <row r="16" spans="1:4">
      <c r="A16" t="s">
        <v>409</v>
      </c>
      <c r="D16" t="s">
        <v>403</v>
      </c>
    </row>
    <row r="17" spans="1:8">
      <c r="A17" t="s">
        <v>410</v>
      </c>
    </row>
    <row r="18" spans="1:8">
      <c r="A18" t="s">
        <v>411</v>
      </c>
    </row>
    <row r="19" spans="1:8">
      <c r="A19" t="s">
        <v>412</v>
      </c>
    </row>
    <row r="20" spans="1:8">
      <c r="D20" t="s">
        <v>476</v>
      </c>
    </row>
    <row r="21" spans="1:8">
      <c r="D21" t="s">
        <v>477</v>
      </c>
    </row>
    <row r="22" spans="1:8">
      <c r="D22" t="s">
        <v>478</v>
      </c>
    </row>
    <row r="23" spans="1:8">
      <c r="A23" t="s">
        <v>414</v>
      </c>
      <c r="B23" t="s">
        <v>415</v>
      </c>
      <c r="D23" t="s">
        <v>479</v>
      </c>
      <c r="H23">
        <v>10</v>
      </c>
    </row>
    <row r="24" spans="1:8">
      <c r="A24" t="s">
        <v>220</v>
      </c>
      <c r="B24" t="s">
        <v>413</v>
      </c>
      <c r="H24">
        <v>20</v>
      </c>
    </row>
    <row r="25" spans="1:8">
      <c r="H25">
        <v>30</v>
      </c>
    </row>
    <row r="26" spans="1:8">
      <c r="H26">
        <v>40</v>
      </c>
    </row>
    <row r="27" spans="1:8">
      <c r="A27" t="s">
        <v>416</v>
      </c>
      <c r="H27">
        <v>50</v>
      </c>
    </row>
    <row r="28" spans="1:8">
      <c r="A28" t="s">
        <v>417</v>
      </c>
      <c r="H28">
        <f>SUM(H23:H27)</f>
        <v>150</v>
      </c>
    </row>
    <row r="29" spans="1:8">
      <c r="A29" t="s">
        <v>418</v>
      </c>
      <c r="B29" t="s">
        <v>420</v>
      </c>
      <c r="H29">
        <f>H23+H30+H25+H26+H27</f>
        <v>130</v>
      </c>
    </row>
    <row r="30" spans="1:8">
      <c r="A30" t="s">
        <v>419</v>
      </c>
    </row>
    <row r="31" spans="1:8">
      <c r="A31" t="s">
        <v>422</v>
      </c>
      <c r="B31" t="s">
        <v>421</v>
      </c>
      <c r="H31">
        <v>25</v>
      </c>
    </row>
    <row r="32" spans="1:8">
      <c r="H32" t="s">
        <v>480</v>
      </c>
    </row>
    <row r="33" spans="1:8">
      <c r="A33" t="s">
        <v>423</v>
      </c>
      <c r="H33" s="80" t="e">
        <f>1/0</f>
        <v>#DIV/0!</v>
      </c>
    </row>
    <row r="34" spans="1:8">
      <c r="A34" t="s">
        <v>424</v>
      </c>
      <c r="B34" t="s">
        <v>425</v>
      </c>
      <c r="H34" t="b">
        <v>1</v>
      </c>
    </row>
  </sheetData>
  <customSheetViews>
    <customSheetView guid="{C78E632C-B4DE-416E-9417-BD43377A5CED}" scale="205" topLeftCell="A1048566">
      <selection activeCell="A1048572" sqref="A1048572"/>
      <pageMargins left="0.7" right="0.7" top="0.75" bottom="0.75" header="0.3" footer="0.3"/>
    </customSheetView>
    <customSheetView guid="{9C3B3B08-E836-4187-9F54-85567FC2169E}" scale="205" topLeftCell="A1048566">
      <selection activeCell="A1048572" sqref="A1048572"/>
      <pageMargins left="0.7" right="0.7" top="0.75" bottom="0.75" header="0.3" footer="0.3"/>
    </customSheetView>
    <customSheetView guid="{BD3EB043-29D0-4252-8BB4-3D6D39776A99}" scale="205" topLeftCell="A1048566">
      <selection activeCell="A1048572" sqref="A1048572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F24" sqref="F24"/>
    </sheetView>
  </sheetViews>
  <sheetFormatPr defaultRowHeight="14.5"/>
  <sheetData/>
  <customSheetViews>
    <customSheetView guid="{C78E632C-B4DE-416E-9417-BD43377A5CED}">
      <pageMargins left="0.7" right="0.7" top="0.75" bottom="0.75" header="0.3" footer="0.3"/>
    </customSheetView>
    <customSheetView guid="{9C3B3B08-E836-4187-9F54-85567FC2169E}">
      <pageMargins left="0.7" right="0.7" top="0.75" bottom="0.75" header="0.3" footer="0.3"/>
    </customSheetView>
    <customSheetView guid="{BD3EB043-29D0-4252-8BB4-3D6D39776A99}"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9"/>
  <sheetViews>
    <sheetView topLeftCell="E1" zoomScale="115" zoomScaleNormal="115" workbookViewId="0">
      <selection activeCell="L24" sqref="L24"/>
    </sheetView>
  </sheetViews>
  <sheetFormatPr defaultRowHeight="14.5"/>
  <cols>
    <col min="1" max="1" width="9" bestFit="1" customWidth="1"/>
    <col min="2" max="2" width="8.90625" bestFit="1" customWidth="1"/>
    <col min="3" max="3" width="8.1796875" customWidth="1"/>
    <col min="4" max="4" width="9.6328125" bestFit="1" customWidth="1"/>
    <col min="5" max="5" width="10.1796875" bestFit="1" customWidth="1"/>
  </cols>
  <sheetData>
    <row r="1" spans="1:20" ht="19" thickBot="1">
      <c r="A1" s="7" t="s">
        <v>57</v>
      </c>
      <c r="B1" s="7"/>
      <c r="C1" s="7"/>
    </row>
    <row r="2" spans="1:20">
      <c r="B2" s="8"/>
      <c r="C2" s="9" t="s">
        <v>7</v>
      </c>
      <c r="D2" s="10"/>
    </row>
    <row r="3" spans="1:20">
      <c r="B3" s="8"/>
      <c r="C3" s="11" t="s">
        <v>8</v>
      </c>
      <c r="D3" s="12"/>
    </row>
    <row r="4" spans="1:20" ht="15" thickBot="1">
      <c r="B4" s="8"/>
      <c r="C4" s="13" t="s">
        <v>9</v>
      </c>
      <c r="D4" s="14"/>
      <c r="P4" s="82" t="s">
        <v>486</v>
      </c>
      <c r="Q4" s="82" t="s">
        <v>484</v>
      </c>
      <c r="R4" s="82" t="s">
        <v>261</v>
      </c>
      <c r="S4" s="82" t="s">
        <v>485</v>
      </c>
      <c r="T4" s="82" t="s">
        <v>487</v>
      </c>
    </row>
    <row r="5" spans="1:20">
      <c r="P5" s="27" t="s">
        <v>481</v>
      </c>
      <c r="Q5">
        <v>10</v>
      </c>
      <c r="R5">
        <v>10</v>
      </c>
      <c r="S5">
        <f>Q5*R5</f>
        <v>100</v>
      </c>
      <c r="T5">
        <f>S5/$S$10</f>
        <v>3.5335689045936395E-3</v>
      </c>
    </row>
    <row r="6" spans="1:20">
      <c r="B6" s="21"/>
      <c r="D6" s="6" t="s">
        <v>7</v>
      </c>
      <c r="E6" s="20" t="s">
        <v>8</v>
      </c>
      <c r="G6" s="21"/>
      <c r="H6" s="106" t="s">
        <v>9</v>
      </c>
      <c r="I6" s="106"/>
      <c r="P6" s="27" t="s">
        <v>349</v>
      </c>
      <c r="Q6" s="81">
        <v>20</v>
      </c>
      <c r="R6">
        <v>20</v>
      </c>
      <c r="S6">
        <f t="shared" ref="S6:S8" si="0">Q6*R6</f>
        <v>400</v>
      </c>
      <c r="T6">
        <f t="shared" ref="T6:T9" si="1">S6/$S$10</f>
        <v>1.4134275618374558E-2</v>
      </c>
    </row>
    <row r="7" spans="1:20">
      <c r="A7" s="2" t="s">
        <v>11</v>
      </c>
      <c r="B7" s="2" t="s">
        <v>18</v>
      </c>
      <c r="C7" s="2" t="s">
        <v>19</v>
      </c>
      <c r="D7" s="2" t="s">
        <v>20</v>
      </c>
      <c r="E7" s="2" t="s">
        <v>21</v>
      </c>
      <c r="H7" s="2" t="s">
        <v>10</v>
      </c>
      <c r="I7" s="2">
        <v>1</v>
      </c>
      <c r="J7" s="2">
        <v>2</v>
      </c>
      <c r="K7" s="2">
        <v>3</v>
      </c>
      <c r="L7" s="2">
        <v>4</v>
      </c>
      <c r="M7" s="2">
        <v>5</v>
      </c>
      <c r="P7" s="27" t="s">
        <v>351</v>
      </c>
      <c r="Q7">
        <v>30</v>
      </c>
      <c r="R7">
        <v>30</v>
      </c>
      <c r="S7">
        <f t="shared" si="0"/>
        <v>900</v>
      </c>
      <c r="T7">
        <f t="shared" si="1"/>
        <v>3.1802120141342753E-2</v>
      </c>
    </row>
    <row r="8" spans="1:20">
      <c r="A8" s="2" t="s">
        <v>12</v>
      </c>
      <c r="B8" s="3">
        <v>12000</v>
      </c>
      <c r="C8" s="3">
        <v>1</v>
      </c>
      <c r="D8" s="3">
        <f>B8*C8</f>
        <v>12000</v>
      </c>
      <c r="E8" s="3">
        <f>D8*100/$D$14</f>
        <v>35.982008995502248</v>
      </c>
      <c r="H8" s="2">
        <v>10</v>
      </c>
      <c r="I8" s="3">
        <f>$H8*I$7</f>
        <v>10</v>
      </c>
      <c r="J8" s="3">
        <f>$H8*J$7</f>
        <v>20</v>
      </c>
      <c r="K8" s="3">
        <f>$H8*K$7</f>
        <v>30</v>
      </c>
      <c r="L8" s="3">
        <f>$H8*L$7</f>
        <v>40</v>
      </c>
      <c r="M8" s="3">
        <f>$H8*M$7</f>
        <v>50</v>
      </c>
      <c r="P8" s="27" t="s">
        <v>482</v>
      </c>
      <c r="Q8">
        <v>40</v>
      </c>
      <c r="R8">
        <v>40</v>
      </c>
      <c r="S8">
        <f t="shared" si="0"/>
        <v>1600</v>
      </c>
      <c r="T8">
        <f t="shared" si="1"/>
        <v>5.6537102473498232E-2</v>
      </c>
    </row>
    <row r="9" spans="1:20">
      <c r="A9" s="2" t="s">
        <v>13</v>
      </c>
      <c r="B9" s="3">
        <v>1000</v>
      </c>
      <c r="C9" s="3">
        <v>2</v>
      </c>
      <c r="D9" s="3">
        <f t="shared" ref="D9:D13" si="2">B9*C9</f>
        <v>2000</v>
      </c>
      <c r="E9" s="3">
        <f t="shared" ref="E9:E13" si="3">D9*100/$D$14</f>
        <v>5.9970014992503744</v>
      </c>
      <c r="H9" s="2">
        <v>20</v>
      </c>
      <c r="I9" s="3">
        <f t="shared" ref="I9:M12" si="4">$H9*I$7</f>
        <v>20</v>
      </c>
      <c r="J9" s="3">
        <f t="shared" si="4"/>
        <v>40</v>
      </c>
      <c r="K9" s="3">
        <f t="shared" si="4"/>
        <v>60</v>
      </c>
      <c r="L9" s="3">
        <f t="shared" si="4"/>
        <v>80</v>
      </c>
      <c r="M9" s="3">
        <f t="shared" si="4"/>
        <v>100</v>
      </c>
      <c r="P9" s="27" t="s">
        <v>483</v>
      </c>
      <c r="Q9">
        <v>50</v>
      </c>
      <c r="R9">
        <v>506</v>
      </c>
      <c r="S9">
        <f>Q9*R9</f>
        <v>25300</v>
      </c>
      <c r="T9">
        <f t="shared" si="1"/>
        <v>0.89399293286219084</v>
      </c>
    </row>
    <row r="10" spans="1:20">
      <c r="A10" s="2" t="s">
        <v>14</v>
      </c>
      <c r="B10" s="3">
        <v>1200</v>
      </c>
      <c r="C10" s="3">
        <v>2</v>
      </c>
      <c r="D10" s="3">
        <f t="shared" si="2"/>
        <v>2400</v>
      </c>
      <c r="E10" s="3">
        <f t="shared" si="3"/>
        <v>7.1964017991004496</v>
      </c>
      <c r="H10" s="2">
        <v>30</v>
      </c>
      <c r="I10" s="3">
        <f t="shared" si="4"/>
        <v>30</v>
      </c>
      <c r="J10" s="3">
        <f t="shared" si="4"/>
        <v>60</v>
      </c>
      <c r="K10" s="3">
        <f t="shared" si="4"/>
        <v>90</v>
      </c>
      <c r="L10" s="3">
        <f t="shared" si="4"/>
        <v>120</v>
      </c>
      <c r="M10" s="3">
        <f t="shared" si="4"/>
        <v>150</v>
      </c>
      <c r="S10">
        <f>SUM(S5:S9)</f>
        <v>28300</v>
      </c>
    </row>
    <row r="11" spans="1:20">
      <c r="A11" s="2" t="s">
        <v>15</v>
      </c>
      <c r="B11" s="3">
        <v>1900</v>
      </c>
      <c r="C11" s="3">
        <v>3</v>
      </c>
      <c r="D11" s="3">
        <f t="shared" si="2"/>
        <v>5700</v>
      </c>
      <c r="E11" s="3">
        <f t="shared" si="3"/>
        <v>17.091454272863569</v>
      </c>
      <c r="H11" s="2">
        <v>40</v>
      </c>
      <c r="I11" s="3">
        <f t="shared" si="4"/>
        <v>40</v>
      </c>
      <c r="J11" s="3">
        <f t="shared" si="4"/>
        <v>80</v>
      </c>
      <c r="K11" s="3">
        <f t="shared" si="4"/>
        <v>120</v>
      </c>
      <c r="L11" s="3">
        <f t="shared" si="4"/>
        <v>160</v>
      </c>
      <c r="M11" s="3">
        <f t="shared" si="4"/>
        <v>200</v>
      </c>
    </row>
    <row r="12" spans="1:20">
      <c r="A12" s="2" t="s">
        <v>16</v>
      </c>
      <c r="B12" s="3">
        <v>2600</v>
      </c>
      <c r="C12" s="3">
        <v>4</v>
      </c>
      <c r="D12" s="3">
        <f t="shared" si="2"/>
        <v>10400</v>
      </c>
      <c r="E12" s="3">
        <f t="shared" si="3"/>
        <v>31.184407796101951</v>
      </c>
      <c r="H12" s="2">
        <v>50</v>
      </c>
      <c r="I12" s="3">
        <f t="shared" si="4"/>
        <v>50</v>
      </c>
      <c r="J12" s="3">
        <f t="shared" si="4"/>
        <v>100</v>
      </c>
      <c r="K12" s="3">
        <f t="shared" si="4"/>
        <v>150</v>
      </c>
      <c r="L12" s="3">
        <f t="shared" si="4"/>
        <v>200</v>
      </c>
      <c r="M12" s="3">
        <f t="shared" si="4"/>
        <v>250</v>
      </c>
    </row>
    <row r="13" spans="1:20">
      <c r="A13" s="2" t="s">
        <v>17</v>
      </c>
      <c r="B13" s="3">
        <v>85</v>
      </c>
      <c r="C13" s="3">
        <v>10</v>
      </c>
      <c r="D13" s="3">
        <f t="shared" si="2"/>
        <v>850</v>
      </c>
      <c r="E13" s="3">
        <f t="shared" si="3"/>
        <v>2.5487256371814091</v>
      </c>
    </row>
    <row r="14" spans="1:20">
      <c r="D14" s="22">
        <f>SUM(D8:D13)</f>
        <v>33350</v>
      </c>
    </row>
    <row r="16" spans="1:20">
      <c r="H16" t="s">
        <v>428</v>
      </c>
    </row>
    <row r="18" spans="4:4">
      <c r="D18" t="s">
        <v>426</v>
      </c>
    </row>
    <row r="19" spans="4:4">
      <c r="D19" t="s">
        <v>427</v>
      </c>
    </row>
  </sheetData>
  <customSheetViews>
    <customSheetView guid="{C78E632C-B4DE-416E-9417-BD43377A5CED}" scale="115" topLeftCell="E1">
      <selection activeCell="L24" sqref="L24"/>
      <pageMargins left="0.7" right="0.7" top="0.75" bottom="0.75" header="0.3" footer="0.3"/>
      <pageSetup orientation="portrait" r:id="rId1"/>
    </customSheetView>
    <customSheetView guid="{9C3B3B08-E836-4187-9F54-85567FC2169E}" scale="115" topLeftCell="E1">
      <selection activeCell="L24" sqref="L24"/>
      <pageMargins left="0.7" right="0.7" top="0.75" bottom="0.75" header="0.3" footer="0.3"/>
      <pageSetup orientation="portrait" r:id="rId2"/>
    </customSheetView>
    <customSheetView guid="{BD3EB043-29D0-4252-8BB4-3D6D39776A99}" scale="115" topLeftCell="E1">
      <selection activeCell="L24" sqref="L24"/>
      <pageMargins left="0.7" right="0.7" top="0.75" bottom="0.75" header="0.3" footer="0.3"/>
      <pageSetup orientation="portrait" r:id="rId3"/>
    </customSheetView>
  </customSheetViews>
  <mergeCells count="1">
    <mergeCell ref="H6:I6"/>
  </mergeCells>
  <pageMargins left="0.7" right="0.7" top="0.75" bottom="0.75" header="0.3" footer="0.3"/>
  <pageSetup orientation="portrait"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zoomScale="160" zoomScaleNormal="160" workbookViewId="0">
      <selection activeCell="G8" sqref="G8"/>
    </sheetView>
  </sheetViews>
  <sheetFormatPr defaultRowHeight="14.5"/>
  <sheetData>
    <row r="1" spans="1:7">
      <c r="A1" t="s">
        <v>429</v>
      </c>
      <c r="D1" t="s">
        <v>433</v>
      </c>
    </row>
    <row r="2" spans="1:7">
      <c r="A2" t="s">
        <v>430</v>
      </c>
    </row>
    <row r="3" spans="1:7">
      <c r="A3" t="s">
        <v>431</v>
      </c>
    </row>
    <row r="4" spans="1:7">
      <c r="A4" t="s">
        <v>432</v>
      </c>
    </row>
    <row r="5" spans="1:7">
      <c r="A5" t="s">
        <v>429</v>
      </c>
    </row>
    <row r="9" spans="1:7">
      <c r="D9" t="s">
        <v>434</v>
      </c>
      <c r="E9" t="s">
        <v>480</v>
      </c>
      <c r="F9" t="s">
        <v>488</v>
      </c>
      <c r="G9" t="s">
        <v>489</v>
      </c>
    </row>
    <row r="10" spans="1:7">
      <c r="D10" t="s">
        <v>435</v>
      </c>
      <c r="E10" t="s">
        <v>490</v>
      </c>
    </row>
    <row r="11" spans="1:7">
      <c r="D11" t="s">
        <v>436</v>
      </c>
    </row>
    <row r="12" spans="1:7">
      <c r="D12" t="s">
        <v>437</v>
      </c>
    </row>
    <row r="13" spans="1:7">
      <c r="D13" t="s">
        <v>438</v>
      </c>
    </row>
  </sheetData>
  <customSheetViews>
    <customSheetView guid="{C78E632C-B4DE-416E-9417-BD43377A5CED}" scale="160">
      <selection activeCell="G11" sqref="G11"/>
      <pageMargins left="0.7" right="0.7" top="0.75" bottom="0.75" header="0.3" footer="0.3"/>
    </customSheetView>
    <customSheetView guid="{9C3B3B08-E836-4187-9F54-85567FC2169E}" scale="160">
      <selection activeCell="G11" sqref="G11"/>
      <pageMargins left="0.7" right="0.7" top="0.75" bottom="0.75" header="0.3" footer="0.3"/>
    </customSheetView>
    <customSheetView guid="{BD3EB043-29D0-4252-8BB4-3D6D39776A99}" scale="160">
      <selection activeCell="G11" sqref="G1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4"/>
  <sheetViews>
    <sheetView topLeftCell="A22" workbookViewId="0">
      <selection activeCell="D35" sqref="D35"/>
    </sheetView>
  </sheetViews>
  <sheetFormatPr defaultRowHeight="14.5"/>
  <cols>
    <col min="1" max="1" width="24.1796875" bestFit="1" customWidth="1"/>
    <col min="2" max="2" width="19.453125" bestFit="1" customWidth="1"/>
  </cols>
  <sheetData>
    <row r="1" spans="1:2">
      <c r="A1" t="s">
        <v>439</v>
      </c>
    </row>
    <row r="2" spans="1:2">
      <c r="A2" s="77" t="s">
        <v>440</v>
      </c>
    </row>
    <row r="3" spans="1:2">
      <c r="A3" s="77" t="s">
        <v>441</v>
      </c>
    </row>
    <row r="4" spans="1:2">
      <c r="A4" s="77" t="s">
        <v>442</v>
      </c>
    </row>
    <row r="8" spans="1:2">
      <c r="A8" t="s">
        <v>443</v>
      </c>
    </row>
    <row r="13" spans="1:2">
      <c r="A13" s="27" t="s">
        <v>444</v>
      </c>
      <c r="B13" t="s">
        <v>449</v>
      </c>
    </row>
    <row r="14" spans="1:2">
      <c r="A14" t="s">
        <v>445</v>
      </c>
      <c r="B14" t="s">
        <v>450</v>
      </c>
    </row>
    <row r="15" spans="1:2">
      <c r="A15" t="s">
        <v>446</v>
      </c>
      <c r="B15" t="s">
        <v>452</v>
      </c>
    </row>
    <row r="16" spans="1:2">
      <c r="A16" t="s">
        <v>447</v>
      </c>
      <c r="B16" t="s">
        <v>451</v>
      </c>
    </row>
    <row r="17" spans="1:5">
      <c r="A17" t="s">
        <v>448</v>
      </c>
    </row>
    <row r="19" spans="1:5">
      <c r="A19" s="27" t="s">
        <v>453</v>
      </c>
      <c r="C19" s="79" t="s">
        <v>459</v>
      </c>
      <c r="D19" s="79" t="s">
        <v>460</v>
      </c>
      <c r="E19" s="79" t="s">
        <v>461</v>
      </c>
    </row>
    <row r="20" spans="1:5">
      <c r="A20" t="s">
        <v>454</v>
      </c>
      <c r="C20" s="78" t="s">
        <v>434</v>
      </c>
      <c r="D20" s="78" t="s">
        <v>462</v>
      </c>
      <c r="E20" s="78">
        <v>100</v>
      </c>
    </row>
    <row r="21" spans="1:5">
      <c r="A21" t="s">
        <v>455</v>
      </c>
      <c r="C21" s="78" t="s">
        <v>435</v>
      </c>
      <c r="D21" s="78" t="s">
        <v>463</v>
      </c>
      <c r="E21" s="78">
        <v>200</v>
      </c>
    </row>
    <row r="22" spans="1:5">
      <c r="A22" t="s">
        <v>456</v>
      </c>
      <c r="C22" s="78" t="s">
        <v>436</v>
      </c>
      <c r="D22" s="78" t="s">
        <v>464</v>
      </c>
      <c r="E22" s="78">
        <v>300</v>
      </c>
    </row>
    <row r="23" spans="1:5">
      <c r="A23" t="s">
        <v>457</v>
      </c>
      <c r="C23" s="78" t="s">
        <v>438</v>
      </c>
      <c r="D23" s="78" t="s">
        <v>465</v>
      </c>
      <c r="E23" s="78">
        <v>400</v>
      </c>
    </row>
    <row r="24" spans="1:5">
      <c r="A24" t="s">
        <v>466</v>
      </c>
      <c r="C24" s="78"/>
      <c r="D24" s="78"/>
      <c r="E24" s="78"/>
    </row>
    <row r="25" spans="1:5">
      <c r="A25" t="s">
        <v>458</v>
      </c>
    </row>
    <row r="28" spans="1:5">
      <c r="A28" s="27" t="s">
        <v>467</v>
      </c>
      <c r="B28" t="s">
        <v>468</v>
      </c>
    </row>
    <row r="30" spans="1:5">
      <c r="A30" t="s">
        <v>469</v>
      </c>
    </row>
    <row r="31" spans="1:5">
      <c r="A31" t="s">
        <v>470</v>
      </c>
    </row>
    <row r="32" spans="1:5">
      <c r="A32" t="s">
        <v>471</v>
      </c>
    </row>
    <row r="33" spans="1:2">
      <c r="A33" t="s">
        <v>472</v>
      </c>
      <c r="B33" t="s">
        <v>474</v>
      </c>
    </row>
    <row r="34" spans="1:2">
      <c r="A34" t="s">
        <v>473</v>
      </c>
      <c r="B34" t="s">
        <v>475</v>
      </c>
    </row>
  </sheetData>
  <customSheetViews>
    <customSheetView guid="{C78E632C-B4DE-416E-9417-BD43377A5CED}" topLeftCell="A22">
      <selection activeCell="C37" sqref="C37"/>
      <pageMargins left="0.7" right="0.7" top="0.75" bottom="0.75" header="0.3" footer="0.3"/>
      <pageSetup orientation="portrait" r:id="rId1"/>
    </customSheetView>
    <customSheetView guid="{9C3B3B08-E836-4187-9F54-85567FC2169E}" topLeftCell="A22">
      <selection activeCell="C37" sqref="C37"/>
      <pageMargins left="0.7" right="0.7" top="0.75" bottom="0.75" header="0.3" footer="0.3"/>
      <pageSetup orientation="portrait" r:id="rId2"/>
    </customSheetView>
    <customSheetView guid="{BD3EB043-29D0-4252-8BB4-3D6D39776A99}" topLeftCell="A22">
      <selection activeCell="C37" sqref="C37"/>
      <pageMargins left="0.7" right="0.7" top="0.75" bottom="0.75" header="0.3" footer="0.3"/>
      <pageSetup orientation="portrait" r:id="rId3"/>
    </customSheetView>
  </customSheetViews>
  <hyperlinks>
    <hyperlink ref="A2" r:id="rId4"/>
    <hyperlink ref="A3" r:id="rId5"/>
    <hyperlink ref="A4" r:id="rId6"/>
  </hyperlinks>
  <pageMargins left="0.7" right="0.7" top="0.75" bottom="0.75" header="0.3" footer="0.3"/>
  <pageSetup orientation="portrait" r:id="rId7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6"/>
  <sheetViews>
    <sheetView topLeftCell="A21" zoomScaleNormal="100" workbookViewId="0">
      <selection activeCell="F22" sqref="F22"/>
    </sheetView>
  </sheetViews>
  <sheetFormatPr defaultRowHeight="14.5"/>
  <cols>
    <col min="1" max="1" width="17.36328125" bestFit="1" customWidth="1"/>
    <col min="2" max="2" width="14.6328125" bestFit="1" customWidth="1"/>
    <col min="4" max="4" width="13.26953125" bestFit="1" customWidth="1"/>
    <col min="5" max="5" width="14.36328125" bestFit="1" customWidth="1"/>
    <col min="7" max="7" width="13.26953125" bestFit="1" customWidth="1"/>
    <col min="8" max="8" width="16.81640625" bestFit="1" customWidth="1"/>
    <col min="10" max="10" width="13.26953125" bestFit="1" customWidth="1"/>
    <col min="11" max="11" width="16.81640625" bestFit="1" customWidth="1"/>
    <col min="12" max="12" width="14.7265625" bestFit="1" customWidth="1"/>
    <col min="15" max="15" width="11.81640625" bestFit="1" customWidth="1"/>
  </cols>
  <sheetData>
    <row r="1" spans="1:15">
      <c r="A1" s="107" t="s">
        <v>22</v>
      </c>
      <c r="B1" s="107"/>
    </row>
    <row r="2" spans="1:15">
      <c r="A2" s="107"/>
      <c r="B2" s="107"/>
    </row>
    <row r="3" spans="1:15">
      <c r="A3" s="107"/>
      <c r="B3" s="107"/>
    </row>
    <row r="4" spans="1:15">
      <c r="A4" s="107"/>
      <c r="B4" s="107"/>
    </row>
    <row r="5" spans="1:15">
      <c r="O5" t="s">
        <v>498</v>
      </c>
    </row>
    <row r="7" spans="1:15">
      <c r="A7" s="2" t="s">
        <v>23</v>
      </c>
      <c r="B7" s="2" t="s">
        <v>30</v>
      </c>
      <c r="D7" s="2" t="s">
        <v>23</v>
      </c>
      <c r="E7" s="2" t="s">
        <v>32</v>
      </c>
      <c r="G7" s="2" t="s">
        <v>23</v>
      </c>
      <c r="H7" s="2" t="s">
        <v>31</v>
      </c>
      <c r="J7" s="2" t="s">
        <v>23</v>
      </c>
      <c r="K7" s="2" t="s">
        <v>33</v>
      </c>
    </row>
    <row r="8" spans="1:15">
      <c r="A8" s="2" t="s">
        <v>24</v>
      </c>
      <c r="B8">
        <v>100</v>
      </c>
      <c r="D8" s="2" t="s">
        <v>24</v>
      </c>
      <c r="E8">
        <v>101</v>
      </c>
      <c r="G8" s="2" t="s">
        <v>24</v>
      </c>
      <c r="H8">
        <v>201</v>
      </c>
      <c r="J8" s="2" t="s">
        <v>24</v>
      </c>
      <c r="K8" t="s">
        <v>90</v>
      </c>
    </row>
    <row r="9" spans="1:15">
      <c r="A9" s="2" t="s">
        <v>25</v>
      </c>
      <c r="B9">
        <v>100</v>
      </c>
      <c r="D9" s="2" t="s">
        <v>25</v>
      </c>
      <c r="E9">
        <v>102</v>
      </c>
      <c r="G9" s="2" t="s">
        <v>25</v>
      </c>
      <c r="H9">
        <v>202</v>
      </c>
      <c r="J9" s="2" t="s">
        <v>25</v>
      </c>
      <c r="K9" t="s">
        <v>91</v>
      </c>
    </row>
    <row r="10" spans="1:15">
      <c r="A10" s="2" t="s">
        <v>26</v>
      </c>
      <c r="B10">
        <v>100</v>
      </c>
      <c r="D10" s="2" t="s">
        <v>26</v>
      </c>
      <c r="E10">
        <v>103</v>
      </c>
      <c r="G10" s="2" t="s">
        <v>26</v>
      </c>
      <c r="H10">
        <v>203</v>
      </c>
      <c r="J10" s="2" t="s">
        <v>26</v>
      </c>
      <c r="K10" t="s">
        <v>92</v>
      </c>
    </row>
    <row r="11" spans="1:15">
      <c r="A11" s="2" t="s">
        <v>27</v>
      </c>
      <c r="B11">
        <v>100</v>
      </c>
      <c r="C11" s="4"/>
      <c r="D11" s="2" t="s">
        <v>27</v>
      </c>
      <c r="E11">
        <v>104</v>
      </c>
      <c r="G11" s="2" t="s">
        <v>27</v>
      </c>
      <c r="H11">
        <v>204</v>
      </c>
      <c r="J11" s="2" t="s">
        <v>27</v>
      </c>
      <c r="K11" t="s">
        <v>93</v>
      </c>
    </row>
    <row r="12" spans="1:15">
      <c r="A12" s="2" t="s">
        <v>28</v>
      </c>
      <c r="B12">
        <v>100</v>
      </c>
      <c r="C12" s="5"/>
      <c r="D12" s="2" t="s">
        <v>28</v>
      </c>
      <c r="E12">
        <v>105</v>
      </c>
      <c r="G12" s="2" t="s">
        <v>28</v>
      </c>
      <c r="H12">
        <v>205</v>
      </c>
      <c r="J12" s="2" t="s">
        <v>28</v>
      </c>
      <c r="K12" t="s">
        <v>94</v>
      </c>
    </row>
    <row r="13" spans="1:15">
      <c r="A13" s="2" t="s">
        <v>29</v>
      </c>
      <c r="B13">
        <v>100</v>
      </c>
      <c r="C13" s="5"/>
      <c r="D13" s="2" t="s">
        <v>29</v>
      </c>
      <c r="E13">
        <v>106</v>
      </c>
      <c r="G13" s="2" t="s">
        <v>29</v>
      </c>
      <c r="H13">
        <v>206</v>
      </c>
      <c r="J13" s="2" t="s">
        <v>29</v>
      </c>
      <c r="K13" t="s">
        <v>95</v>
      </c>
    </row>
    <row r="14" spans="1:15">
      <c r="C14" s="5"/>
      <c r="D14" s="4"/>
    </row>
    <row r="15" spans="1:15">
      <c r="C15" s="5"/>
      <c r="D15" s="4"/>
    </row>
    <row r="16" spans="1:15">
      <c r="C16" s="5"/>
      <c r="D16" s="4"/>
    </row>
    <row r="17" spans="1:12">
      <c r="C17" s="5"/>
      <c r="D17" s="4"/>
    </row>
    <row r="18" spans="1:12">
      <c r="A18" s="2" t="s">
        <v>34</v>
      </c>
      <c r="B18" s="2" t="s">
        <v>35</v>
      </c>
      <c r="C18" s="4"/>
      <c r="D18" s="1" t="s">
        <v>36</v>
      </c>
      <c r="E18" s="1" t="s">
        <v>37</v>
      </c>
      <c r="F18" s="1" t="s">
        <v>38</v>
      </c>
      <c r="J18" s="27" t="s">
        <v>34</v>
      </c>
      <c r="K18" s="27" t="s">
        <v>506</v>
      </c>
      <c r="L18" s="27" t="s">
        <v>508</v>
      </c>
    </row>
    <row r="19" spans="1:12">
      <c r="A19" s="2" t="s">
        <v>0</v>
      </c>
      <c r="B19" t="s">
        <v>96</v>
      </c>
      <c r="C19" s="4"/>
      <c r="D19" s="4" t="s">
        <v>39</v>
      </c>
      <c r="E19" t="s">
        <v>45</v>
      </c>
      <c r="F19" t="s">
        <v>51</v>
      </c>
      <c r="J19" s="27" t="s">
        <v>499</v>
      </c>
      <c r="K19" t="s">
        <v>507</v>
      </c>
      <c r="L19" t="s">
        <v>509</v>
      </c>
    </row>
    <row r="20" spans="1:12">
      <c r="A20" s="2" t="s">
        <v>1</v>
      </c>
      <c r="B20" t="s">
        <v>96</v>
      </c>
      <c r="C20" s="4"/>
      <c r="D20" s="4" t="s">
        <v>40</v>
      </c>
      <c r="E20" t="s">
        <v>46</v>
      </c>
      <c r="F20" t="s">
        <v>52</v>
      </c>
      <c r="J20" s="27" t="s">
        <v>500</v>
      </c>
      <c r="K20" t="s">
        <v>507</v>
      </c>
      <c r="L20" t="s">
        <v>510</v>
      </c>
    </row>
    <row r="21" spans="1:12">
      <c r="A21" s="2" t="s">
        <v>2</v>
      </c>
      <c r="B21" t="s">
        <v>96</v>
      </c>
      <c r="C21" s="4"/>
      <c r="D21" s="4" t="s">
        <v>41</v>
      </c>
      <c r="E21" t="s">
        <v>47</v>
      </c>
      <c r="F21" t="s">
        <v>53</v>
      </c>
      <c r="J21" s="27" t="s">
        <v>501</v>
      </c>
      <c r="K21" t="s">
        <v>507</v>
      </c>
      <c r="L21" t="s">
        <v>511</v>
      </c>
    </row>
    <row r="22" spans="1:12">
      <c r="A22" s="2" t="s">
        <v>3</v>
      </c>
      <c r="B22" t="s">
        <v>96</v>
      </c>
      <c r="C22" s="4"/>
      <c r="D22" s="4" t="s">
        <v>42</v>
      </c>
      <c r="E22" t="s">
        <v>48</v>
      </c>
      <c r="F22" t="s">
        <v>54</v>
      </c>
      <c r="J22" s="27" t="s">
        <v>502</v>
      </c>
      <c r="K22" t="s">
        <v>507</v>
      </c>
      <c r="L22" t="s">
        <v>512</v>
      </c>
    </row>
    <row r="23" spans="1:12">
      <c r="A23" s="2" t="s">
        <v>4</v>
      </c>
      <c r="B23" t="s">
        <v>96</v>
      </c>
      <c r="D23" s="4" t="s">
        <v>43</v>
      </c>
      <c r="E23" t="s">
        <v>49</v>
      </c>
      <c r="F23" t="s">
        <v>55</v>
      </c>
      <c r="J23" s="27" t="s">
        <v>503</v>
      </c>
      <c r="K23" t="s">
        <v>507</v>
      </c>
      <c r="L23" t="s">
        <v>513</v>
      </c>
    </row>
    <row r="24" spans="1:12">
      <c r="A24" s="2" t="s">
        <v>5</v>
      </c>
      <c r="B24" t="s">
        <v>96</v>
      </c>
      <c r="D24" s="4" t="s">
        <v>44</v>
      </c>
      <c r="E24" t="s">
        <v>50</v>
      </c>
      <c r="F24" t="s">
        <v>56</v>
      </c>
      <c r="J24" s="27" t="s">
        <v>504</v>
      </c>
      <c r="K24" t="s">
        <v>507</v>
      </c>
      <c r="L24" t="s">
        <v>514</v>
      </c>
    </row>
    <row r="25" spans="1:12">
      <c r="A25" s="2" t="s">
        <v>6</v>
      </c>
      <c r="B25" t="s">
        <v>96</v>
      </c>
      <c r="J25" s="27" t="s">
        <v>505</v>
      </c>
      <c r="K25" t="s">
        <v>507</v>
      </c>
      <c r="L25" t="s">
        <v>515</v>
      </c>
    </row>
    <row r="26" spans="1:12">
      <c r="J26" s="27" t="s">
        <v>499</v>
      </c>
      <c r="K26" t="s">
        <v>507</v>
      </c>
      <c r="L26" t="s">
        <v>509</v>
      </c>
    </row>
  </sheetData>
  <customSheetViews>
    <customSheetView guid="{C78E632C-B4DE-416E-9417-BD43377A5CED}" topLeftCell="A8">
      <selection activeCell="H21" sqref="H21"/>
      <pageMargins left="0.7" right="0.7" top="0.75" bottom="0.75" header="0.3" footer="0.3"/>
    </customSheetView>
    <customSheetView guid="{9C3B3B08-E836-4187-9F54-85567FC2169E}" topLeftCell="A8">
      <selection activeCell="H21" sqref="H21"/>
      <pageMargins left="0.7" right="0.7" top="0.75" bottom="0.75" header="0.3" footer="0.3"/>
    </customSheetView>
    <customSheetView guid="{BD3EB043-29D0-4252-8BB4-3D6D39776A99}" topLeftCell="A8">
      <selection activeCell="H21" sqref="H21"/>
      <pageMargins left="0.7" right="0.7" top="0.75" bottom="0.75" header="0.3" footer="0.3"/>
    </customSheetView>
  </customSheetViews>
  <mergeCells count="1">
    <mergeCell ref="A1:B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5"/>
  <sheetViews>
    <sheetView zoomScale="160" zoomScaleNormal="160" workbookViewId="0">
      <pane xSplit="12970" ySplit="3210" topLeftCell="I7"/>
      <selection activeCell="A3" sqref="A3"/>
      <selection pane="topRight" activeCell="I1" sqref="I1"/>
      <selection pane="bottomLeft" activeCell="A7" sqref="A7"/>
      <selection pane="bottomRight" activeCell="I7" sqref="I7"/>
    </sheetView>
  </sheetViews>
  <sheetFormatPr defaultRowHeight="14.5"/>
  <cols>
    <col min="6" max="6" width="8.7265625" customWidth="1"/>
    <col min="10" max="11" width="8.7265625" customWidth="1"/>
  </cols>
  <sheetData>
    <row r="1" spans="1:42">
      <c r="F1" s="27">
        <v>2024</v>
      </c>
      <c r="G1" s="27" t="s">
        <v>173</v>
      </c>
      <c r="AO1" s="27">
        <v>2024</v>
      </c>
      <c r="AP1" s="27" t="s">
        <v>173</v>
      </c>
    </row>
    <row r="2" spans="1:42">
      <c r="A2" t="s">
        <v>491</v>
      </c>
      <c r="E2" t="s">
        <v>493</v>
      </c>
      <c r="F2" t="s">
        <v>516</v>
      </c>
      <c r="G2">
        <v>10</v>
      </c>
      <c r="AO2" t="s">
        <v>516</v>
      </c>
      <c r="AP2">
        <v>10</v>
      </c>
    </row>
    <row r="3" spans="1:42">
      <c r="A3" t="s">
        <v>492</v>
      </c>
      <c r="F3" t="s">
        <v>517</v>
      </c>
      <c r="G3">
        <v>20304</v>
      </c>
      <c r="AO3" t="s">
        <v>517</v>
      </c>
      <c r="AP3">
        <v>20304</v>
      </c>
    </row>
    <row r="4" spans="1:42">
      <c r="A4" t="s">
        <v>494</v>
      </c>
      <c r="F4" t="s">
        <v>518</v>
      </c>
      <c r="G4">
        <v>394</v>
      </c>
      <c r="AO4" t="s">
        <v>518</v>
      </c>
      <c r="AP4">
        <v>394</v>
      </c>
    </row>
    <row r="5" spans="1:42">
      <c r="F5" t="s">
        <v>519</v>
      </c>
      <c r="G5">
        <v>2347</v>
      </c>
      <c r="AO5" t="s">
        <v>519</v>
      </c>
      <c r="AP5">
        <v>2347</v>
      </c>
    </row>
  </sheetData>
  <customSheetViews>
    <customSheetView guid="{C78E632C-B4DE-416E-9417-BD43377A5CED}">
      <selection activeCell="H7" sqref="H7"/>
      <pageMargins left="0.7" right="0.7" top="0.75" bottom="0.75" header="0.3" footer="0.3"/>
    </customSheetView>
    <customSheetView guid="{9C3B3B08-E836-4187-9F54-85567FC2169E}">
      <selection activeCell="H7" sqref="H7"/>
      <pageMargins left="0.7" right="0.7" top="0.75" bottom="0.75" header="0.3" footer="0.3"/>
    </customSheetView>
    <customSheetView guid="{BD3EB043-29D0-4252-8BB4-3D6D39776A99}">
      <selection activeCell="H7" sqref="H7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>
      <selection activeCell="H7" sqref="H7"/>
    </sheetView>
  </sheetViews>
  <sheetFormatPr defaultRowHeight="14.5"/>
  <cols>
    <col min="1" max="1" width="14.6328125" customWidth="1"/>
    <col min="6" max="6" width="7.81640625" bestFit="1" customWidth="1"/>
  </cols>
  <sheetData>
    <row r="1" spans="1:6" ht="16" thickBot="1">
      <c r="A1" s="15" t="s">
        <v>58</v>
      </c>
    </row>
    <row r="2" spans="1:6">
      <c r="A2" s="16" t="s">
        <v>59</v>
      </c>
    </row>
    <row r="3" spans="1:6">
      <c r="A3" s="17" t="s">
        <v>60</v>
      </c>
    </row>
    <row r="4" spans="1:6" ht="15" thickBot="1">
      <c r="A4" s="18" t="s">
        <v>61</v>
      </c>
      <c r="D4" t="s">
        <v>63</v>
      </c>
      <c r="E4" t="s">
        <v>19</v>
      </c>
      <c r="F4" t="s">
        <v>97</v>
      </c>
    </row>
    <row r="5" spans="1:6">
      <c r="D5" t="s">
        <v>12</v>
      </c>
      <c r="E5">
        <v>3</v>
      </c>
      <c r="F5">
        <v>1232423</v>
      </c>
    </row>
    <row r="6" spans="1:6">
      <c r="D6" t="s">
        <v>15</v>
      </c>
      <c r="E6">
        <v>23</v>
      </c>
      <c r="F6">
        <v>423424</v>
      </c>
    </row>
    <row r="7" spans="1:6">
      <c r="D7" t="s">
        <v>14</v>
      </c>
      <c r="E7">
        <v>3</v>
      </c>
      <c r="F7">
        <v>234234</v>
      </c>
    </row>
    <row r="8" spans="1:6">
      <c r="D8" t="s">
        <v>13</v>
      </c>
      <c r="E8">
        <v>3</v>
      </c>
      <c r="F8">
        <v>424</v>
      </c>
    </row>
    <row r="9" spans="1:6">
      <c r="D9" t="s">
        <v>98</v>
      </c>
      <c r="E9">
        <v>2</v>
      </c>
      <c r="F9">
        <v>2</v>
      </c>
    </row>
  </sheetData>
  <customSheetViews>
    <customSheetView guid="{C78E632C-B4DE-416E-9417-BD43377A5CED}" hiddenColumns="1" topLeftCell="B1">
      <selection sqref="A1:A1048576"/>
      <pageMargins left="0.7" right="0.7" top="0.75" bottom="0.75" header="0.3" footer="0.3"/>
    </customSheetView>
    <customSheetView guid="{9C3B3B08-E836-4187-9F54-85567FC2169E}" hiddenColumns="1">
      <selection activeCell="I6" sqref="I6"/>
      <pageMargins left="0.7" right="0.7" top="0.75" bottom="0.75" header="0.3" footer="0.3"/>
    </customSheetView>
    <customSheetView guid="{BD3EB043-29D0-4252-8BB4-3D6D39776A99}"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8"/>
  <sheetViews>
    <sheetView workbookViewId="0">
      <selection activeCell="F17" sqref="F17"/>
    </sheetView>
  </sheetViews>
  <sheetFormatPr defaultRowHeight="14.5"/>
  <sheetData>
    <row r="2" spans="1:5">
      <c r="A2" t="s">
        <v>495</v>
      </c>
    </row>
    <row r="3" spans="1:5">
      <c r="A3" t="s">
        <v>496</v>
      </c>
    </row>
    <row r="6" spans="1:5" ht="57" customHeight="1">
      <c r="A6" s="83" t="s">
        <v>62</v>
      </c>
      <c r="B6" s="83"/>
      <c r="C6" s="83"/>
      <c r="D6" s="83"/>
      <c r="E6" s="83"/>
    </row>
    <row r="8" spans="1:5">
      <c r="C8" t="s">
        <v>497</v>
      </c>
    </row>
  </sheetData>
  <customSheetViews>
    <customSheetView guid="{C78E632C-B4DE-416E-9417-BD43377A5CED}">
      <selection activeCell="G11" sqref="G11"/>
      <pageMargins left="0.7" right="0.7" top="0.75" bottom="0.75" header="0.3" footer="0.3"/>
    </customSheetView>
    <customSheetView guid="{9C3B3B08-E836-4187-9F54-85567FC2169E}">
      <selection activeCell="G11" sqref="G11"/>
      <pageMargins left="0.7" right="0.7" top="0.75" bottom="0.75" header="0.3" footer="0.3"/>
    </customSheetView>
    <customSheetView guid="{BD3EB043-29D0-4252-8BB4-3D6D39776A99}">
      <selection activeCell="G11" sqref="G11"/>
      <pageMargins left="0.7" right="0.7" top="0.75" bottom="0.75" header="0.3" footer="0.3"/>
    </customSheetView>
  </customSheetView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zoomScaleNormal="100" workbookViewId="0">
      <selection activeCell="J9" sqref="J9"/>
    </sheetView>
  </sheetViews>
  <sheetFormatPr defaultRowHeight="14.5"/>
  <sheetData>
    <row r="1" spans="1:3">
      <c r="A1" s="2" t="s">
        <v>63</v>
      </c>
      <c r="B1" s="2" t="s">
        <v>18</v>
      </c>
      <c r="C1" s="2" t="s">
        <v>19</v>
      </c>
    </row>
    <row r="2" spans="1:3">
      <c r="A2" s="2" t="s">
        <v>12</v>
      </c>
      <c r="B2" s="3">
        <v>12000</v>
      </c>
      <c r="C2" s="3">
        <v>1</v>
      </c>
    </row>
    <row r="3" spans="1:3">
      <c r="A3" s="2" t="s">
        <v>13</v>
      </c>
      <c r="B3" s="3">
        <v>1000</v>
      </c>
      <c r="C3" s="3">
        <v>2</v>
      </c>
    </row>
    <row r="4" spans="1:3">
      <c r="A4" s="2" t="s">
        <v>14</v>
      </c>
      <c r="B4" s="3">
        <v>1200</v>
      </c>
      <c r="C4" s="3">
        <v>2</v>
      </c>
    </row>
    <row r="5" spans="1:3">
      <c r="A5" s="2" t="s">
        <v>15</v>
      </c>
      <c r="B5" s="3">
        <v>1900</v>
      </c>
      <c r="C5" s="3">
        <v>3</v>
      </c>
    </row>
    <row r="6" spans="1:3">
      <c r="A6" s="2" t="s">
        <v>16</v>
      </c>
      <c r="B6" s="3">
        <v>2600</v>
      </c>
      <c r="C6" s="3">
        <v>4</v>
      </c>
    </row>
    <row r="7" spans="1:3">
      <c r="A7" s="2" t="s">
        <v>17</v>
      </c>
      <c r="B7" s="3">
        <v>85</v>
      </c>
      <c r="C7" s="3">
        <v>10</v>
      </c>
    </row>
  </sheetData>
  <customSheetViews>
    <customSheetView guid="{C78E632C-B4DE-416E-9417-BD43377A5CED}">
      <selection activeCell="E25" sqref="E25"/>
      <pageMargins left="0.7" right="0.7" top="0.75" bottom="0.75" header="0.3" footer="0.3"/>
    </customSheetView>
    <customSheetView guid="{9C3B3B08-E836-4187-9F54-85567FC2169E}">
      <selection activeCell="E25" sqref="E25"/>
      <pageMargins left="0.7" right="0.7" top="0.75" bottom="0.75" header="0.3" footer="0.3"/>
    </customSheetView>
    <customSheetView guid="{BD3EB043-29D0-4252-8BB4-3D6D39776A99}">
      <selection activeCell="E25" sqref="E25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>
      <selection activeCell="G3" sqref="G3"/>
    </sheetView>
  </sheetViews>
  <sheetFormatPr defaultRowHeight="14.5"/>
  <sheetData>
    <row r="1" spans="1:5">
      <c r="A1" s="2" t="s">
        <v>11</v>
      </c>
      <c r="B1" s="2" t="s">
        <v>18</v>
      </c>
      <c r="C1" s="2" t="s">
        <v>19</v>
      </c>
    </row>
    <row r="2" spans="1:5">
      <c r="A2" s="2" t="s">
        <v>12</v>
      </c>
      <c r="B2" s="3">
        <v>2</v>
      </c>
      <c r="C2" s="3">
        <v>23</v>
      </c>
      <c r="E2" t="s">
        <v>520</v>
      </c>
    </row>
    <row r="3" spans="1:5">
      <c r="A3" s="2" t="s">
        <v>13</v>
      </c>
      <c r="B3" s="3">
        <v>32</v>
      </c>
      <c r="C3" s="3">
        <v>3</v>
      </c>
    </row>
    <row r="4" spans="1:5">
      <c r="A4" s="2" t="s">
        <v>14</v>
      </c>
      <c r="B4" s="3">
        <v>34</v>
      </c>
      <c r="C4" s="3">
        <v>4</v>
      </c>
    </row>
    <row r="5" spans="1:5">
      <c r="A5" s="2" t="s">
        <v>15</v>
      </c>
      <c r="B5" s="3">
        <v>23</v>
      </c>
      <c r="C5" s="3">
        <v>32</v>
      </c>
    </row>
    <row r="6" spans="1:5">
      <c r="A6" s="2" t="s">
        <v>16</v>
      </c>
      <c r="B6" s="3">
        <v>442</v>
      </c>
      <c r="C6" s="3">
        <v>22</v>
      </c>
    </row>
    <row r="7" spans="1:5">
      <c r="A7" s="2" t="s">
        <v>17</v>
      </c>
      <c r="B7" s="3">
        <v>33</v>
      </c>
      <c r="C7" s="3">
        <v>3</v>
      </c>
    </row>
    <row r="8" spans="1:5">
      <c r="C8" s="3"/>
    </row>
  </sheetData>
  <customSheetViews>
    <customSheetView guid="{C78E632C-B4DE-416E-9417-BD43377A5CED}">
      <selection activeCell="I11" sqref="I11"/>
      <pageMargins left="0.7" right="0.7" top="0.75" bottom="0.75" header="0.3" footer="0.3"/>
    </customSheetView>
    <customSheetView guid="{9C3B3B08-E836-4187-9F54-85567FC2169E}">
      <selection activeCell="I11" sqref="I11"/>
      <pageMargins left="0.7" right="0.7" top="0.75" bottom="0.75" header="0.3" footer="0.3"/>
    </customSheetView>
    <customSheetView guid="{BD3EB043-29D0-4252-8BB4-3D6D39776A99}">
      <selection activeCell="I11" sqref="I1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Q22"/>
  <sheetViews>
    <sheetView workbookViewId="0">
      <selection activeCell="F12" sqref="F12"/>
    </sheetView>
  </sheetViews>
  <sheetFormatPr defaultRowHeight="14.5"/>
  <sheetData>
    <row r="3" spans="1:17">
      <c r="M3" t="s">
        <v>499</v>
      </c>
      <c r="O3" t="s">
        <v>521</v>
      </c>
    </row>
    <row r="4" spans="1:17">
      <c r="E4" t="s">
        <v>63</v>
      </c>
      <c r="F4" t="s">
        <v>63</v>
      </c>
      <c r="M4" t="s">
        <v>500</v>
      </c>
      <c r="O4" t="s">
        <v>522</v>
      </c>
    </row>
    <row r="5" spans="1:17">
      <c r="E5" t="s">
        <v>12</v>
      </c>
      <c r="F5" t="s">
        <v>12</v>
      </c>
      <c r="M5" t="s">
        <v>501</v>
      </c>
      <c r="O5" t="s">
        <v>523</v>
      </c>
    </row>
    <row r="6" spans="1:17">
      <c r="E6" t="s">
        <v>13</v>
      </c>
      <c r="F6" t="s">
        <v>13</v>
      </c>
      <c r="M6" t="s">
        <v>502</v>
      </c>
      <c r="O6" t="s">
        <v>524</v>
      </c>
    </row>
    <row r="7" spans="1:17">
      <c r="E7" t="s">
        <v>64</v>
      </c>
      <c r="F7" t="s">
        <v>64</v>
      </c>
      <c r="M7" t="s">
        <v>503</v>
      </c>
      <c r="O7" t="s">
        <v>525</v>
      </c>
    </row>
    <row r="8" spans="1:17">
      <c r="A8">
        <v>1</v>
      </c>
      <c r="E8" t="s">
        <v>65</v>
      </c>
      <c r="F8" t="s">
        <v>65</v>
      </c>
      <c r="M8" t="s">
        <v>504</v>
      </c>
    </row>
    <row r="9" spans="1:17">
      <c r="A9">
        <v>2</v>
      </c>
      <c r="E9" t="s">
        <v>65</v>
      </c>
      <c r="F9" t="s">
        <v>13</v>
      </c>
      <c r="G9" t="s">
        <v>14</v>
      </c>
      <c r="H9" t="s">
        <v>66</v>
      </c>
      <c r="I9" t="s">
        <v>67</v>
      </c>
      <c r="J9" s="19" t="s">
        <v>68</v>
      </c>
      <c r="M9" t="s">
        <v>505</v>
      </c>
    </row>
    <row r="10" spans="1:17">
      <c r="A10">
        <v>3</v>
      </c>
      <c r="E10" t="s">
        <v>65</v>
      </c>
      <c r="F10" t="s">
        <v>13</v>
      </c>
      <c r="G10" t="s">
        <v>14</v>
      </c>
      <c r="H10" t="s">
        <v>66</v>
      </c>
      <c r="I10" t="s">
        <v>67</v>
      </c>
      <c r="J10" t="s">
        <v>68</v>
      </c>
      <c r="M10" t="s">
        <v>499</v>
      </c>
      <c r="Q10" t="s">
        <v>521</v>
      </c>
    </row>
    <row r="11" spans="1:17">
      <c r="A11">
        <v>4</v>
      </c>
      <c r="M11" t="s">
        <v>500</v>
      </c>
      <c r="Q11" t="s">
        <v>522</v>
      </c>
    </row>
    <row r="12" spans="1:17">
      <c r="A12">
        <v>5</v>
      </c>
      <c r="M12" t="s">
        <v>501</v>
      </c>
      <c r="Q12" t="s">
        <v>523</v>
      </c>
    </row>
    <row r="13" spans="1:17">
      <c r="A13">
        <v>6</v>
      </c>
      <c r="M13" t="s">
        <v>502</v>
      </c>
      <c r="Q13" t="s">
        <v>526</v>
      </c>
    </row>
    <row r="14" spans="1:17">
      <c r="A14">
        <v>7</v>
      </c>
      <c r="I14">
        <v>23</v>
      </c>
      <c r="M14" t="s">
        <v>503</v>
      </c>
      <c r="Q14" t="s">
        <v>527</v>
      </c>
    </row>
    <row r="15" spans="1:17">
      <c r="A15">
        <v>8</v>
      </c>
      <c r="I15">
        <v>34</v>
      </c>
      <c r="K15">
        <f>I15+I19</f>
        <v>34</v>
      </c>
      <c r="M15" t="s">
        <v>504</v>
      </c>
      <c r="Q15" t="s">
        <v>528</v>
      </c>
    </row>
    <row r="16" spans="1:17">
      <c r="A16">
        <v>9</v>
      </c>
      <c r="I16">
        <v>3224</v>
      </c>
      <c r="M16" t="s">
        <v>505</v>
      </c>
      <c r="Q16" t="s">
        <v>524</v>
      </c>
    </row>
    <row r="17" spans="1:17">
      <c r="A17">
        <v>10</v>
      </c>
      <c r="I17">
        <v>234</v>
      </c>
      <c r="M17" t="s">
        <v>499</v>
      </c>
      <c r="Q17" t="s">
        <v>525</v>
      </c>
    </row>
    <row r="18" spans="1:17">
      <c r="A18">
        <v>11</v>
      </c>
      <c r="I18">
        <f>SUM(I14:I17)</f>
        <v>3515</v>
      </c>
      <c r="M18" t="s">
        <v>500</v>
      </c>
    </row>
    <row r="19" spans="1:17">
      <c r="A19">
        <v>12</v>
      </c>
    </row>
    <row r="20" spans="1:17">
      <c r="A20">
        <v>13</v>
      </c>
    </row>
    <row r="21" spans="1:17">
      <c r="A21">
        <v>14</v>
      </c>
    </row>
    <row r="22" spans="1:17">
      <c r="A22">
        <v>15</v>
      </c>
    </row>
  </sheetData>
  <customSheetViews>
    <customSheetView guid="{C78E632C-B4DE-416E-9417-BD43377A5CED}">
      <selection activeCell="N7" sqref="N7"/>
      <pageMargins left="0.7" right="0.7" top="0.75" bottom="0.75" header="0.3" footer="0.3"/>
      <pageSetup orientation="portrait" r:id="rId1"/>
    </customSheetView>
    <customSheetView guid="{9C3B3B08-E836-4187-9F54-85567FC2169E}">
      <selection activeCell="N7" sqref="N7"/>
      <pageMargins left="0.7" right="0.7" top="0.75" bottom="0.75" header="0.3" footer="0.3"/>
      <pageSetup orientation="portrait" r:id="rId2"/>
    </customSheetView>
    <customSheetView guid="{BD3EB043-29D0-4252-8BB4-3D6D39776A99}">
      <selection activeCell="N7" sqref="N7"/>
      <pageMargins left="0.7" right="0.7" top="0.75" bottom="0.75" header="0.3" footer="0.3"/>
      <pageSetup orientation="portrait" r:id="rId3"/>
    </customSheetView>
  </customSheetViews>
  <pageMargins left="0.7" right="0.7" top="0.75" bottom="0.75" header="0.3" footer="0.3"/>
  <pageSetup orientation="portrait" r:id="rId4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J7"/>
  <sheetViews>
    <sheetView zoomScale="130" zoomScaleNormal="130" workbookViewId="0">
      <selection activeCell="D9" sqref="D9"/>
    </sheetView>
  </sheetViews>
  <sheetFormatPr defaultRowHeight="14.5"/>
  <cols>
    <col min="9" max="9" width="9.453125" bestFit="1" customWidth="1"/>
  </cols>
  <sheetData>
    <row r="4" spans="2:10" ht="21">
      <c r="B4" s="25" t="s">
        <v>99</v>
      </c>
      <c r="C4" s="24" t="s">
        <v>100</v>
      </c>
      <c r="D4" s="24"/>
      <c r="H4" t="s">
        <v>370</v>
      </c>
      <c r="I4" t="s">
        <v>369</v>
      </c>
      <c r="J4" t="s">
        <v>529</v>
      </c>
    </row>
    <row r="5" spans="2:10" ht="21">
      <c r="B5" s="24"/>
      <c r="C5" s="24"/>
      <c r="D5" s="24"/>
      <c r="H5">
        <v>10</v>
      </c>
      <c r="I5">
        <v>2</v>
      </c>
      <c r="J5">
        <f>H5*I5</f>
        <v>20</v>
      </c>
    </row>
    <row r="6" spans="2:10">
      <c r="H6">
        <v>20</v>
      </c>
      <c r="I6">
        <v>3</v>
      </c>
      <c r="J6">
        <f t="shared" ref="J6:J7" si="0">H6*I6</f>
        <v>60</v>
      </c>
    </row>
    <row r="7" spans="2:10">
      <c r="H7">
        <v>30</v>
      </c>
      <c r="I7">
        <v>4</v>
      </c>
      <c r="J7">
        <f t="shared" si="0"/>
        <v>120</v>
      </c>
    </row>
  </sheetData>
  <customSheetViews>
    <customSheetView guid="{C78E632C-B4DE-416E-9417-BD43377A5CED}" scale="130" topLeftCell="A8">
      <selection activeCell="H20" sqref="H20"/>
      <pageMargins left="0.7" right="0.7" top="0.75" bottom="0.75" header="0.3" footer="0.3"/>
      <pageSetup orientation="portrait" r:id="rId1"/>
    </customSheetView>
    <customSheetView guid="{9C3B3B08-E836-4187-9F54-85567FC2169E}" scale="130" topLeftCell="A8">
      <selection activeCell="H20" sqref="H20"/>
      <pageMargins left="0.7" right="0.7" top="0.75" bottom="0.75" header="0.3" footer="0.3"/>
      <pageSetup orientation="portrait" r:id="rId2"/>
    </customSheetView>
    <customSheetView guid="{BD3EB043-29D0-4252-8BB4-3D6D39776A99}" scale="130" topLeftCell="A8">
      <selection activeCell="H20" sqref="H20"/>
      <pageMargins left="0.7" right="0.7" top="0.75" bottom="0.75" header="0.3" footer="0.3"/>
      <pageSetup orientation="portrait" r:id="rId3"/>
    </customSheetView>
  </customSheetViews>
  <pageMargins left="0.7" right="0.7" top="0.75" bottom="0.75" header="0.3" footer="0.3"/>
  <pageSetup orientation="portrait" r:id="rId4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zoomScale="115" zoomScaleNormal="115" workbookViewId="0">
      <selection activeCell="D11" sqref="D11"/>
    </sheetView>
  </sheetViews>
  <sheetFormatPr defaultRowHeight="14.5"/>
  <cols>
    <col min="1" max="1" width="21.6328125" bestFit="1" customWidth="1"/>
    <col min="2" max="2" width="5.6328125" customWidth="1"/>
    <col min="3" max="3" width="11.90625" bestFit="1" customWidth="1"/>
    <col min="7" max="7" width="11.36328125" bestFit="1" customWidth="1"/>
  </cols>
  <sheetData>
    <row r="1" spans="1:7">
      <c r="A1" s="84" t="s">
        <v>530</v>
      </c>
    </row>
    <row r="2" spans="1:7">
      <c r="A2" t="s">
        <v>531</v>
      </c>
    </row>
    <row r="3" spans="1:7">
      <c r="A3" t="s">
        <v>532</v>
      </c>
    </row>
    <row r="4" spans="1:7">
      <c r="A4" t="s">
        <v>533</v>
      </c>
    </row>
    <row r="16" spans="1:7">
      <c r="F16" s="28" t="s">
        <v>101</v>
      </c>
      <c r="G16" s="28" t="s">
        <v>102</v>
      </c>
    </row>
    <row r="17" spans="1:8">
      <c r="F17" s="27">
        <v>25</v>
      </c>
      <c r="G17" s="27">
        <v>50</v>
      </c>
    </row>
    <row r="18" spans="1:8" ht="15.5">
      <c r="A18" s="26" t="s">
        <v>69</v>
      </c>
      <c r="B18" s="26" t="s">
        <v>106</v>
      </c>
      <c r="C18" s="26" t="s">
        <v>103</v>
      </c>
    </row>
    <row r="19" spans="1:8" ht="15.5">
      <c r="A19" s="26" t="s">
        <v>70</v>
      </c>
      <c r="B19" t="b">
        <f>F17=G17</f>
        <v>0</v>
      </c>
      <c r="C19" t="s">
        <v>104</v>
      </c>
    </row>
    <row r="20" spans="1:8" ht="15.5">
      <c r="A20" s="26" t="s">
        <v>71</v>
      </c>
      <c r="B20" t="b">
        <f>F17&lt;&gt;G17</f>
        <v>1</v>
      </c>
      <c r="C20" t="s">
        <v>105</v>
      </c>
    </row>
    <row r="21" spans="1:8" ht="15.5">
      <c r="A21" s="26" t="s">
        <v>72</v>
      </c>
      <c r="B21" t="b">
        <f>F17&lt;=G17</f>
        <v>1</v>
      </c>
      <c r="E21" t="s">
        <v>534</v>
      </c>
      <c r="F21" t="s">
        <v>535</v>
      </c>
      <c r="G21" t="s">
        <v>536</v>
      </c>
    </row>
    <row r="22" spans="1:8" ht="15.5">
      <c r="A22" s="26" t="s">
        <v>73</v>
      </c>
      <c r="B22" t="b">
        <f>F17&gt;=G17</f>
        <v>0</v>
      </c>
      <c r="E22" t="s">
        <v>521</v>
      </c>
      <c r="F22">
        <v>5</v>
      </c>
      <c r="G22" t="b">
        <f>E22=F22</f>
        <v>0</v>
      </c>
      <c r="H22" t="s">
        <v>537</v>
      </c>
    </row>
    <row r="23" spans="1:8" ht="15.5">
      <c r="A23" s="26" t="s">
        <v>74</v>
      </c>
      <c r="B23" t="b">
        <f>F17&gt;G17</f>
        <v>0</v>
      </c>
      <c r="G23" t="b">
        <f>E22&lt;&gt;F22</f>
        <v>1</v>
      </c>
      <c r="H23" t="s">
        <v>538</v>
      </c>
    </row>
    <row r="24" spans="1:8" ht="15.5">
      <c r="A24" s="26" t="s">
        <v>75</v>
      </c>
      <c r="B24" t="b">
        <f>F17&lt;G17</f>
        <v>1</v>
      </c>
      <c r="G24" t="b">
        <f>E22&lt;F22</f>
        <v>0</v>
      </c>
      <c r="H24" t="s">
        <v>539</v>
      </c>
    </row>
    <row r="25" spans="1:8">
      <c r="G25" t="b">
        <f>E22&gt;F22</f>
        <v>1</v>
      </c>
    </row>
  </sheetData>
  <customSheetViews>
    <customSheetView guid="{C78E632C-B4DE-416E-9417-BD43377A5CED}" scale="160">
      <selection activeCell="A12" sqref="A12"/>
      <pageMargins left="0.7" right="0.7" top="0.75" bottom="0.75" header="0.3" footer="0.3"/>
    </customSheetView>
    <customSheetView guid="{9C3B3B08-E836-4187-9F54-85567FC2169E}" scale="160">
      <selection activeCell="A12" sqref="A12"/>
      <pageMargins left="0.7" right="0.7" top="0.75" bottom="0.75" header="0.3" footer="0.3"/>
    </customSheetView>
    <customSheetView guid="{BD3EB043-29D0-4252-8BB4-3D6D39776A99}" scale="160">
      <selection activeCell="A12" sqref="A12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2"/>
  <sheetViews>
    <sheetView topLeftCell="W1" zoomScale="145" zoomScaleNormal="145" workbookViewId="0">
      <selection activeCell="Z6" sqref="Z6"/>
    </sheetView>
  </sheetViews>
  <sheetFormatPr defaultRowHeight="14.5"/>
  <cols>
    <col min="1" max="1" width="24.26953125" bestFit="1" customWidth="1"/>
    <col min="2" max="2" width="11" customWidth="1"/>
    <col min="3" max="3" width="9.26953125" customWidth="1"/>
    <col min="24" max="24" width="11.26953125" bestFit="1" customWidth="1"/>
    <col min="29" max="29" width="14.36328125" bestFit="1" customWidth="1"/>
  </cols>
  <sheetData>
    <row r="1" spans="1:29" ht="21">
      <c r="B1" s="23" t="s">
        <v>76</v>
      </c>
      <c r="C1" s="23" t="s">
        <v>77</v>
      </c>
      <c r="E1" t="s">
        <v>78</v>
      </c>
      <c r="V1" s="85" t="s">
        <v>540</v>
      </c>
      <c r="W1" s="85" t="s">
        <v>541</v>
      </c>
      <c r="Y1" t="s">
        <v>542</v>
      </c>
      <c r="AB1" s="86" t="s">
        <v>543</v>
      </c>
      <c r="AC1" t="s">
        <v>544</v>
      </c>
    </row>
    <row r="2" spans="1:29">
      <c r="B2">
        <v>4</v>
      </c>
      <c r="C2">
        <v>50</v>
      </c>
      <c r="E2" t="s">
        <v>79</v>
      </c>
      <c r="H2" s="29">
        <f ca="1">TODAY()</f>
        <v>45812</v>
      </c>
      <c r="V2">
        <v>200</v>
      </c>
      <c r="W2">
        <v>20</v>
      </c>
      <c r="Y2" t="str">
        <f>IF(V2&gt;W2,"GOOD","BAD")</f>
        <v>GOOD</v>
      </c>
      <c r="AB2">
        <v>18</v>
      </c>
      <c r="AC2" t="str">
        <f>IF(AB2&lt;18,"TEEN",IF(AB2&lt;55,"ADULT","SENIOR"))</f>
        <v>ADULT</v>
      </c>
    </row>
    <row r="3" spans="1:29">
      <c r="J3" t="s">
        <v>76</v>
      </c>
      <c r="K3" t="s">
        <v>77</v>
      </c>
      <c r="L3" t="s">
        <v>107</v>
      </c>
      <c r="AB3">
        <v>17</v>
      </c>
      <c r="AC3" t="str">
        <f t="shared" ref="AC3:AC8" si="0">IF(AB3&lt;18,"TEEN",IF(AB3&lt;55,"ADULT","SENIOR"))</f>
        <v>TEEN</v>
      </c>
    </row>
    <row r="4" spans="1:29">
      <c r="J4">
        <v>1</v>
      </c>
      <c r="K4">
        <v>2</v>
      </c>
      <c r="L4" t="b">
        <f>IF(J4&lt;K4,TRUE,FALSE)</f>
        <v>1</v>
      </c>
      <c r="AB4">
        <v>12</v>
      </c>
      <c r="AC4" t="str">
        <f t="shared" si="0"/>
        <v>TEEN</v>
      </c>
    </row>
    <row r="5" spans="1:29" ht="21">
      <c r="A5" s="23" t="s">
        <v>80</v>
      </c>
      <c r="B5" s="23" t="s">
        <v>81</v>
      </c>
      <c r="J5">
        <v>2</v>
      </c>
      <c r="K5">
        <v>3</v>
      </c>
      <c r="L5" t="b">
        <f t="shared" ref="L5:L8" si="1">IF(J5&lt;K5,TRUE,FALSE)</f>
        <v>1</v>
      </c>
      <c r="AB5">
        <v>31</v>
      </c>
      <c r="AC5" t="str">
        <f t="shared" si="0"/>
        <v>ADULT</v>
      </c>
    </row>
    <row r="6" spans="1:29" ht="21">
      <c r="A6" s="23" t="s">
        <v>82</v>
      </c>
      <c r="B6" t="b">
        <f>IF(B2&lt;C2,TRUE,FALSE)</f>
        <v>1</v>
      </c>
      <c r="J6">
        <v>3</v>
      </c>
      <c r="K6">
        <v>2</v>
      </c>
      <c r="L6" t="b">
        <f t="shared" si="1"/>
        <v>0</v>
      </c>
      <c r="AB6">
        <v>56</v>
      </c>
      <c r="AC6" t="str">
        <f t="shared" si="0"/>
        <v>SENIOR</v>
      </c>
    </row>
    <row r="7" spans="1:29" ht="21">
      <c r="A7" s="23" t="s">
        <v>83</v>
      </c>
      <c r="B7">
        <f>IF(B2&lt;C2,1,0)</f>
        <v>1</v>
      </c>
      <c r="J7">
        <v>5</v>
      </c>
      <c r="K7">
        <v>2</v>
      </c>
      <c r="L7" t="b">
        <f t="shared" si="1"/>
        <v>0</v>
      </c>
      <c r="AB7">
        <v>71</v>
      </c>
      <c r="AC7" t="str">
        <f t="shared" si="0"/>
        <v>SENIOR</v>
      </c>
    </row>
    <row r="8" spans="1:29" ht="21">
      <c r="A8" s="23" t="s">
        <v>84</v>
      </c>
      <c r="B8" t="str">
        <f>IF(B2&gt;C2,"Pass","Fail")</f>
        <v>Fail</v>
      </c>
      <c r="J8">
        <v>4</v>
      </c>
      <c r="K8">
        <v>2</v>
      </c>
      <c r="L8" t="b">
        <f t="shared" si="1"/>
        <v>0</v>
      </c>
      <c r="X8" s="27" t="s">
        <v>545</v>
      </c>
      <c r="Y8" s="27" t="s">
        <v>546</v>
      </c>
      <c r="AB8">
        <v>18</v>
      </c>
      <c r="AC8" t="str">
        <f t="shared" si="0"/>
        <v>ADULT</v>
      </c>
    </row>
    <row r="9" spans="1:29" ht="21">
      <c r="A9" s="23" t="s">
        <v>85</v>
      </c>
      <c r="B9" t="str">
        <f>IF(B2&gt;C2,UPPER("pass"),UPPER("fail"))</f>
        <v>FAIL</v>
      </c>
      <c r="X9" s="27" t="s">
        <v>548</v>
      </c>
      <c r="Y9" s="27" t="s">
        <v>547</v>
      </c>
    </row>
    <row r="10" spans="1:29" ht="21">
      <c r="A10" s="23" t="s">
        <v>86</v>
      </c>
      <c r="B10" t="str">
        <f>IF(B2&gt;C2,"YES","NO")</f>
        <v>NO</v>
      </c>
      <c r="X10" s="27" t="s">
        <v>549</v>
      </c>
      <c r="Y10" s="27" t="s">
        <v>550</v>
      </c>
    </row>
    <row r="11" spans="1:29" ht="21">
      <c r="A11" s="23" t="s">
        <v>87</v>
      </c>
      <c r="B11">
        <f>IF(B2&gt;C2,B2+C2,0)</f>
        <v>0</v>
      </c>
    </row>
    <row r="12" spans="1:29" ht="21">
      <c r="A12" s="23" t="s">
        <v>88</v>
      </c>
      <c r="B12" s="29">
        <f ca="1">IF(B2&gt;C2,TODAY(),TODAY()+10)</f>
        <v>45822</v>
      </c>
    </row>
  </sheetData>
  <customSheetViews>
    <customSheetView guid="{C78E632C-B4DE-416E-9417-BD43377A5CED}">
      <selection activeCell="B6" sqref="B6"/>
      <pageMargins left="0.7" right="0.7" top="0.75" bottom="0.75" header="0.3" footer="0.3"/>
      <pageSetup orientation="portrait" r:id="rId1"/>
    </customSheetView>
    <customSheetView guid="{9C3B3B08-E836-4187-9F54-85567FC2169E}">
      <selection activeCell="B6" sqref="B6"/>
      <pageMargins left="0.7" right="0.7" top="0.75" bottom="0.75" header="0.3" footer="0.3"/>
      <pageSetup orientation="portrait" r:id="rId2"/>
    </customSheetView>
    <customSheetView guid="{BD3EB043-29D0-4252-8BB4-3D6D39776A99}">
      <selection activeCell="B6" sqref="B6"/>
      <pageMargins left="0.7" right="0.7" top="0.75" bottom="0.75" header="0.3" footer="0.3"/>
      <pageSetup orientation="portrait" r:id="rId3"/>
    </customSheetView>
  </customSheetViews>
  <pageMargins left="0.7" right="0.7" top="0.75" bottom="0.75" header="0.3" footer="0.3"/>
  <pageSetup orientation="portrait" r:id="rId4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2"/>
  <sheetViews>
    <sheetView topLeftCell="A3" zoomScale="205" zoomScaleNormal="205" workbookViewId="0">
      <selection activeCell="F11" sqref="F11"/>
    </sheetView>
  </sheetViews>
  <sheetFormatPr defaultRowHeight="14.5"/>
  <cols>
    <col min="1" max="1" width="16.26953125" bestFit="1" customWidth="1"/>
    <col min="2" max="2" width="13" bestFit="1" customWidth="1"/>
    <col min="4" max="4" width="5.7265625" bestFit="1" customWidth="1"/>
    <col min="5" max="5" width="6" bestFit="1" customWidth="1"/>
    <col min="6" max="6" width="10.08984375" bestFit="1" customWidth="1"/>
  </cols>
  <sheetData>
    <row r="2" spans="1:6">
      <c r="A2" t="s">
        <v>89</v>
      </c>
    </row>
    <row r="5" spans="1:6">
      <c r="A5" s="27" t="s">
        <v>112</v>
      </c>
      <c r="B5" s="27" t="s">
        <v>144</v>
      </c>
      <c r="E5" t="s">
        <v>109</v>
      </c>
      <c r="F5" t="s">
        <v>110</v>
      </c>
    </row>
    <row r="6" spans="1:6">
      <c r="A6" s="27" t="s">
        <v>78</v>
      </c>
      <c r="B6" s="27" t="s">
        <v>145</v>
      </c>
      <c r="E6">
        <v>101</v>
      </c>
    </row>
    <row r="7" spans="1:6">
      <c r="A7" s="27" t="s">
        <v>79</v>
      </c>
      <c r="B7" s="27" t="s">
        <v>146</v>
      </c>
      <c r="E7">
        <v>56745</v>
      </c>
    </row>
    <row r="8" spans="1:6">
      <c r="E8">
        <v>67</v>
      </c>
    </row>
    <row r="9" spans="1:6">
      <c r="A9" s="27" t="s">
        <v>148</v>
      </c>
      <c r="B9" s="27" t="s">
        <v>147</v>
      </c>
      <c r="E9">
        <v>23</v>
      </c>
    </row>
    <row r="10" spans="1:6">
      <c r="E10">
        <v>88</v>
      </c>
    </row>
    <row r="11" spans="1:6">
      <c r="E11">
        <v>3</v>
      </c>
    </row>
    <row r="12" spans="1:6">
      <c r="E12">
        <v>2</v>
      </c>
    </row>
  </sheetData>
  <customSheetViews>
    <customSheetView guid="{C78E632C-B4DE-416E-9417-BD43377A5CED}" scale="205" topLeftCell="A3">
      <selection activeCell="B9" sqref="B9"/>
      <pageMargins left="0.7" right="0.7" top="0.75" bottom="0.75" header="0.3" footer="0.3"/>
    </customSheetView>
    <customSheetView guid="{9C3B3B08-E836-4187-9F54-85567FC2169E}" scale="205" topLeftCell="A3">
      <selection activeCell="B9" sqref="B9"/>
      <pageMargins left="0.7" right="0.7" top="0.75" bottom="0.75" header="0.3" footer="0.3"/>
    </customSheetView>
    <customSheetView guid="{BD3EB043-29D0-4252-8BB4-3D6D39776A99}" scale="205" topLeftCell="A3">
      <selection activeCell="B9" sqref="B9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Views>
    <sheetView topLeftCell="A5" zoomScale="190" zoomScaleNormal="190" workbookViewId="0">
      <selection activeCell="E9" sqref="E9"/>
    </sheetView>
  </sheetViews>
  <sheetFormatPr defaultRowHeight="14.5"/>
  <cols>
    <col min="1" max="1" width="15" customWidth="1"/>
    <col min="4" max="4" width="2.7265625" customWidth="1"/>
  </cols>
  <sheetData>
    <row r="1" spans="1:8">
      <c r="F1" t="s">
        <v>111</v>
      </c>
    </row>
    <row r="2" spans="1:8">
      <c r="H2" t="b">
        <f>AND(B6&gt;C6,B7&gt;C7)</f>
        <v>0</v>
      </c>
    </row>
    <row r="5" spans="1:8">
      <c r="A5" t="s">
        <v>108</v>
      </c>
      <c r="B5" t="s">
        <v>109</v>
      </c>
      <c r="C5" t="s">
        <v>149</v>
      </c>
      <c r="E5" t="s">
        <v>110</v>
      </c>
    </row>
    <row r="6" spans="1:8">
      <c r="A6" t="s">
        <v>137</v>
      </c>
      <c r="B6">
        <v>59</v>
      </c>
      <c r="C6">
        <v>55</v>
      </c>
      <c r="E6" t="str">
        <f>IF(AND(B6&gt;70,C6&gt;50),"vg",IF(AND(B6&gt;50,C6&gt;50),"g","b"))</f>
        <v>g</v>
      </c>
    </row>
    <row r="7" spans="1:8">
      <c r="A7" t="s">
        <v>138</v>
      </c>
      <c r="B7">
        <v>55</v>
      </c>
      <c r="C7">
        <v>65</v>
      </c>
      <c r="E7" t="str">
        <f t="shared" ref="E7:E10" si="0">IF(AND(B7&gt;70,C7&gt;50),"vg",IF(AND(B7&gt;50,C7&gt;50),"g","b"))</f>
        <v>g</v>
      </c>
    </row>
    <row r="8" spans="1:8">
      <c r="A8" t="s">
        <v>139</v>
      </c>
      <c r="B8">
        <v>71</v>
      </c>
      <c r="C8">
        <v>51</v>
      </c>
      <c r="E8" t="str">
        <f t="shared" si="0"/>
        <v>vg</v>
      </c>
    </row>
    <row r="9" spans="1:8">
      <c r="A9" t="s">
        <v>140</v>
      </c>
      <c r="B9">
        <v>55</v>
      </c>
      <c r="C9">
        <v>51</v>
      </c>
      <c r="E9" t="str">
        <f t="shared" si="0"/>
        <v>g</v>
      </c>
    </row>
    <row r="10" spans="1:8">
      <c r="A10" t="s">
        <v>141</v>
      </c>
      <c r="B10">
        <v>97</v>
      </c>
      <c r="C10">
        <v>3</v>
      </c>
      <c r="E10" t="str">
        <f t="shared" si="0"/>
        <v>b</v>
      </c>
    </row>
    <row r="14" spans="1:8">
      <c r="A14" t="s">
        <v>150</v>
      </c>
      <c r="D14" t="s">
        <v>151</v>
      </c>
    </row>
    <row r="15" spans="1:8">
      <c r="A15" t="s">
        <v>152</v>
      </c>
      <c r="D15" t="s">
        <v>153</v>
      </c>
    </row>
    <row r="16" spans="1:8">
      <c r="A16" t="s">
        <v>154</v>
      </c>
      <c r="D16" t="s">
        <v>155</v>
      </c>
    </row>
  </sheetData>
  <customSheetViews>
    <customSheetView guid="{C78E632C-B4DE-416E-9417-BD43377A5CED}" scale="160" topLeftCell="A2">
      <selection activeCell="E6" sqref="E6"/>
      <pageMargins left="0.7" right="0.7" top="0.75" bottom="0.75" header="0.3" footer="0.3"/>
    </customSheetView>
    <customSheetView guid="{9C3B3B08-E836-4187-9F54-85567FC2169E}" scale="160" topLeftCell="A2">
      <selection activeCell="E6" sqref="E6"/>
      <pageMargins left="0.7" right="0.7" top="0.75" bottom="0.75" header="0.3" footer="0.3"/>
    </customSheetView>
    <customSheetView guid="{BD3EB043-29D0-4252-8BB4-3D6D39776A99}" scale="160" topLeftCell="A2">
      <selection activeCell="E6" sqref="E6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M8"/>
  <sheetViews>
    <sheetView topLeftCell="G1" zoomScale="190" zoomScaleNormal="190" workbookViewId="0">
      <selection activeCell="N7" sqref="N7"/>
    </sheetView>
  </sheetViews>
  <sheetFormatPr defaultRowHeight="14.5"/>
  <sheetData>
    <row r="3" spans="3:13">
      <c r="J3" t="s">
        <v>534</v>
      </c>
      <c r="K3" t="s">
        <v>535</v>
      </c>
      <c r="L3" t="s">
        <v>551</v>
      </c>
    </row>
    <row r="4" spans="3:13">
      <c r="C4" t="s">
        <v>156</v>
      </c>
      <c r="D4" t="s">
        <v>157</v>
      </c>
      <c r="E4" t="s">
        <v>158</v>
      </c>
      <c r="J4">
        <v>25</v>
      </c>
      <c r="K4">
        <v>20</v>
      </c>
      <c r="L4">
        <v>30</v>
      </c>
      <c r="M4" t="b">
        <f>OR(J4&gt;K4,J4&gt;L4)</f>
        <v>1</v>
      </c>
    </row>
    <row r="5" spans="3:13">
      <c r="C5">
        <v>55</v>
      </c>
      <c r="D5">
        <v>78</v>
      </c>
      <c r="E5" t="e">
        <f>OR(C5&gt;50,D5&lt;50,"TF")</f>
        <v>#VALUE!</v>
      </c>
    </row>
    <row r="6" spans="3:13">
      <c r="C6" t="s">
        <v>159</v>
      </c>
      <c r="D6" t="s">
        <v>160</v>
      </c>
      <c r="E6" t="b">
        <f>OR(C6&lt;&gt;"True",D6&lt;&gt;"False")</f>
        <v>1</v>
      </c>
    </row>
    <row r="7" spans="3:13">
      <c r="C7" t="b">
        <v>0</v>
      </c>
      <c r="D7" t="b">
        <v>0</v>
      </c>
      <c r="E7" t="b">
        <f t="shared" ref="E7:E8" si="0">OR(C7&lt;&gt;"True",D7&lt;&gt;"False")</f>
        <v>1</v>
      </c>
    </row>
    <row r="8" spans="3:13">
      <c r="C8" t="b">
        <v>1</v>
      </c>
      <c r="D8" t="b">
        <v>0</v>
      </c>
      <c r="E8" t="b">
        <f t="shared" si="0"/>
        <v>1</v>
      </c>
    </row>
  </sheetData>
  <customSheetViews>
    <customSheetView guid="{C78E632C-B4DE-416E-9417-BD43377A5CED}" scale="190">
      <selection activeCell="E5" sqref="E5"/>
      <pageMargins left="0.7" right="0.7" top="0.75" bottom="0.75" header="0.3" footer="0.3"/>
    </customSheetView>
    <customSheetView guid="{9C3B3B08-E836-4187-9F54-85567FC2169E}" scale="190">
      <selection activeCell="E5" sqref="E5"/>
      <pageMargins left="0.7" right="0.7" top="0.75" bottom="0.75" header="0.3" footer="0.3"/>
    </customSheetView>
    <customSheetView guid="{BD3EB043-29D0-4252-8BB4-3D6D39776A99}" scale="190">
      <selection activeCell="E5" sqref="E5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C9"/>
  <sheetViews>
    <sheetView workbookViewId="0">
      <selection activeCell="B4" sqref="B4"/>
    </sheetView>
  </sheetViews>
  <sheetFormatPr defaultRowHeight="14.5"/>
  <sheetData>
    <row r="3" spans="2:3">
      <c r="B3" t="s">
        <v>110</v>
      </c>
      <c r="C3" t="s">
        <v>113</v>
      </c>
    </row>
    <row r="4" spans="2:3">
      <c r="B4" t="b">
        <v>1</v>
      </c>
      <c r="C4" t="b">
        <f>NOT(B4)</f>
        <v>0</v>
      </c>
    </row>
    <row r="5" spans="2:3">
      <c r="B5" t="b">
        <v>0</v>
      </c>
      <c r="C5" t="b">
        <f t="shared" ref="C5:C9" si="0">NOT(B5)</f>
        <v>1</v>
      </c>
    </row>
    <row r="6" spans="2:3">
      <c r="B6" t="b">
        <v>1</v>
      </c>
      <c r="C6" t="b">
        <f t="shared" si="0"/>
        <v>0</v>
      </c>
    </row>
    <row r="7" spans="2:3">
      <c r="B7" t="b">
        <v>0</v>
      </c>
      <c r="C7" t="b">
        <f t="shared" si="0"/>
        <v>1</v>
      </c>
    </row>
    <row r="8" spans="2:3">
      <c r="B8" t="b">
        <v>1</v>
      </c>
      <c r="C8" t="b">
        <f t="shared" si="0"/>
        <v>0</v>
      </c>
    </row>
    <row r="9" spans="2:3">
      <c r="B9" t="b">
        <v>1</v>
      </c>
      <c r="C9" t="b">
        <f t="shared" si="0"/>
        <v>0</v>
      </c>
    </row>
  </sheetData>
  <customSheetViews>
    <customSheetView guid="{C78E632C-B4DE-416E-9417-BD43377A5CED}">
      <selection activeCell="I13" sqref="I13"/>
      <pageMargins left="0.7" right="0.7" top="0.75" bottom="0.75" header="0.3" footer="0.3"/>
    </customSheetView>
    <customSheetView guid="{9C3B3B08-E836-4187-9F54-85567FC2169E}">
      <selection activeCell="I13" sqref="I13"/>
      <pageMargins left="0.7" right="0.7" top="0.75" bottom="0.75" header="0.3" footer="0.3"/>
    </customSheetView>
    <customSheetView guid="{BD3EB043-29D0-4252-8BB4-3D6D39776A99}">
      <selection activeCell="I13" sqref="I13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F19"/>
  <sheetViews>
    <sheetView zoomScale="145" zoomScaleNormal="145" workbookViewId="0">
      <selection activeCell="G4" sqref="G4"/>
    </sheetView>
  </sheetViews>
  <sheetFormatPr defaultRowHeight="14.5"/>
  <cols>
    <col min="3" max="3" width="4.7265625" bestFit="1" customWidth="1"/>
    <col min="4" max="4" width="7.81640625" bestFit="1" customWidth="1"/>
    <col min="5" max="5" width="15.36328125" bestFit="1" customWidth="1"/>
    <col min="6" max="6" width="24.36328125" bestFit="1" customWidth="1"/>
  </cols>
  <sheetData>
    <row r="3" spans="3:6">
      <c r="C3" t="s">
        <v>161</v>
      </c>
      <c r="D3" t="s">
        <v>162</v>
      </c>
      <c r="E3" t="s">
        <v>552</v>
      </c>
      <c r="F3" t="s">
        <v>553</v>
      </c>
    </row>
    <row r="4" spans="3:6">
      <c r="C4">
        <v>23</v>
      </c>
      <c r="D4">
        <v>34</v>
      </c>
      <c r="E4">
        <f>C4/D4</f>
        <v>0.67647058823529416</v>
      </c>
      <c r="F4">
        <f>IFERROR(C4/D4,0)</f>
        <v>0.67647058823529416</v>
      </c>
    </row>
    <row r="5" spans="3:6">
      <c r="C5">
        <v>45</v>
      </c>
      <c r="D5">
        <v>12</v>
      </c>
      <c r="E5">
        <f t="shared" ref="E5:E19" si="0">C5/D5</f>
        <v>3.75</v>
      </c>
      <c r="F5">
        <f t="shared" ref="F5:F19" si="1">IFERROR(C5/D5,0)</f>
        <v>3.75</v>
      </c>
    </row>
    <row r="6" spans="3:6">
      <c r="C6">
        <v>67</v>
      </c>
      <c r="D6">
        <v>4</v>
      </c>
      <c r="E6">
        <f t="shared" si="0"/>
        <v>16.75</v>
      </c>
      <c r="F6">
        <f t="shared" si="1"/>
        <v>16.75</v>
      </c>
    </row>
    <row r="7" spans="3:6">
      <c r="C7">
        <v>87</v>
      </c>
      <c r="D7">
        <v>0</v>
      </c>
      <c r="E7" t="e">
        <f t="shared" si="0"/>
        <v>#DIV/0!</v>
      </c>
      <c r="F7">
        <f t="shared" si="1"/>
        <v>0</v>
      </c>
    </row>
    <row r="8" spans="3:6">
      <c r="C8">
        <v>345</v>
      </c>
      <c r="D8">
        <v>32</v>
      </c>
      <c r="E8">
        <f t="shared" si="0"/>
        <v>10.78125</v>
      </c>
      <c r="F8">
        <f t="shared" si="1"/>
        <v>10.78125</v>
      </c>
    </row>
    <row r="9" spans="3:6">
      <c r="C9">
        <v>0</v>
      </c>
      <c r="D9">
        <v>0</v>
      </c>
      <c r="E9" t="e">
        <f t="shared" si="0"/>
        <v>#DIV/0!</v>
      </c>
      <c r="F9">
        <f t="shared" si="1"/>
        <v>0</v>
      </c>
    </row>
    <row r="10" spans="3:6">
      <c r="C10">
        <v>4</v>
      </c>
      <c r="D10">
        <v>5</v>
      </c>
      <c r="E10">
        <f t="shared" si="0"/>
        <v>0.8</v>
      </c>
      <c r="F10">
        <f t="shared" si="1"/>
        <v>0.8</v>
      </c>
    </row>
    <row r="11" spans="3:6">
      <c r="C11">
        <v>0</v>
      </c>
      <c r="D11">
        <v>0</v>
      </c>
      <c r="E11" t="e">
        <f t="shared" si="0"/>
        <v>#DIV/0!</v>
      </c>
      <c r="F11">
        <f t="shared" si="1"/>
        <v>0</v>
      </c>
    </row>
    <row r="12" spans="3:6">
      <c r="C12">
        <v>4</v>
      </c>
      <c r="D12">
        <v>324</v>
      </c>
      <c r="E12">
        <f t="shared" si="0"/>
        <v>1.2345679012345678E-2</v>
      </c>
      <c r="F12">
        <f t="shared" si="1"/>
        <v>1.2345679012345678E-2</v>
      </c>
    </row>
    <row r="13" spans="3:6">
      <c r="C13">
        <v>0</v>
      </c>
      <c r="D13">
        <v>32</v>
      </c>
      <c r="E13">
        <f t="shared" si="0"/>
        <v>0</v>
      </c>
      <c r="F13">
        <f t="shared" si="1"/>
        <v>0</v>
      </c>
    </row>
    <row r="14" spans="3:6">
      <c r="C14">
        <v>0</v>
      </c>
      <c r="D14">
        <v>0</v>
      </c>
      <c r="E14" t="e">
        <f t="shared" si="0"/>
        <v>#DIV/0!</v>
      </c>
      <c r="F14">
        <f t="shared" si="1"/>
        <v>0</v>
      </c>
    </row>
    <row r="15" spans="3:6">
      <c r="C15">
        <v>0</v>
      </c>
      <c r="D15">
        <v>4</v>
      </c>
      <c r="E15">
        <f t="shared" si="0"/>
        <v>0</v>
      </c>
      <c r="F15">
        <f t="shared" si="1"/>
        <v>0</v>
      </c>
    </row>
    <row r="16" spans="3:6">
      <c r="C16">
        <v>66</v>
      </c>
      <c r="D16">
        <v>234</v>
      </c>
      <c r="E16">
        <f t="shared" si="0"/>
        <v>0.28205128205128205</v>
      </c>
      <c r="F16">
        <f t="shared" si="1"/>
        <v>0.28205128205128205</v>
      </c>
    </row>
    <row r="17" spans="3:6">
      <c r="C17">
        <v>2</v>
      </c>
      <c r="D17">
        <v>0</v>
      </c>
      <c r="E17" t="e">
        <f t="shared" si="0"/>
        <v>#DIV/0!</v>
      </c>
      <c r="F17">
        <f t="shared" si="1"/>
        <v>0</v>
      </c>
    </row>
    <row r="18" spans="3:6">
      <c r="C18">
        <v>45</v>
      </c>
      <c r="D18">
        <v>432</v>
      </c>
      <c r="E18">
        <f t="shared" si="0"/>
        <v>0.10416666666666667</v>
      </c>
      <c r="F18">
        <f t="shared" si="1"/>
        <v>0.10416666666666667</v>
      </c>
    </row>
    <row r="19" spans="3:6">
      <c r="C19">
        <v>4</v>
      </c>
      <c r="D19">
        <v>4</v>
      </c>
      <c r="E19">
        <f t="shared" si="0"/>
        <v>1</v>
      </c>
      <c r="F19">
        <f t="shared" si="1"/>
        <v>1</v>
      </c>
    </row>
  </sheetData>
  <customSheetViews>
    <customSheetView guid="{C78E632C-B4DE-416E-9417-BD43377A5CED}">
      <selection activeCell="F11" sqref="F11"/>
      <pageMargins left="0.7" right="0.7" top="0.75" bottom="0.75" header="0.3" footer="0.3"/>
    </customSheetView>
    <customSheetView guid="{9C3B3B08-E836-4187-9F54-85567FC2169E}">
      <selection activeCell="F11" sqref="F11"/>
      <pageMargins left="0.7" right="0.7" top="0.75" bottom="0.75" header="0.3" footer="0.3"/>
    </customSheetView>
    <customSheetView guid="{BD3EB043-29D0-4252-8BB4-3D6D39776A99}">
      <selection activeCell="F11" sqref="F1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"/>
  <sheetViews>
    <sheetView zoomScale="85" zoomScaleNormal="85" workbookViewId="0">
      <selection activeCell="L11" sqref="L11"/>
    </sheetView>
  </sheetViews>
  <sheetFormatPr defaultRowHeight="21"/>
  <cols>
    <col min="1" max="1" width="30.08984375" style="24" bestFit="1" customWidth="1"/>
    <col min="2" max="2" width="11.08984375" style="24" customWidth="1"/>
    <col min="3" max="3" width="8.7265625" style="24"/>
    <col min="4" max="4" width="20.26953125" style="24" bestFit="1" customWidth="1"/>
    <col min="5" max="5" width="14.54296875" style="24" bestFit="1" customWidth="1"/>
    <col min="6" max="6" width="13.08984375" style="24" bestFit="1" customWidth="1"/>
    <col min="7" max="7" width="15.6328125" style="24" bestFit="1" customWidth="1"/>
    <col min="8" max="8" width="17.7265625" style="24" bestFit="1" customWidth="1"/>
    <col min="9" max="16384" width="8.7265625" style="24"/>
  </cols>
  <sheetData>
    <row r="1" spans="1:11">
      <c r="A1" s="30" t="s">
        <v>114</v>
      </c>
      <c r="C1" s="108" t="s">
        <v>117</v>
      </c>
      <c r="D1" s="108"/>
      <c r="E1" s="108"/>
      <c r="F1" s="108"/>
      <c r="G1" s="108"/>
      <c r="H1" s="108"/>
      <c r="I1" s="108"/>
      <c r="J1" s="108"/>
      <c r="K1" s="108"/>
    </row>
    <row r="2" spans="1:11">
      <c r="A2" s="25" t="s">
        <v>115</v>
      </c>
      <c r="B2" s="24" t="s">
        <v>170</v>
      </c>
    </row>
    <row r="3" spans="1:11" ht="23.5">
      <c r="A3" s="25" t="s">
        <v>116</v>
      </c>
      <c r="B3" s="24" t="s">
        <v>171</v>
      </c>
      <c r="D3" s="35" t="s">
        <v>163</v>
      </c>
      <c r="E3" s="35" t="s">
        <v>18</v>
      </c>
      <c r="F3" s="35" t="s">
        <v>19</v>
      </c>
      <c r="G3" s="35" t="s">
        <v>20</v>
      </c>
      <c r="H3" s="35" t="s">
        <v>164</v>
      </c>
      <c r="J3" s="35" t="s">
        <v>169</v>
      </c>
    </row>
    <row r="4" spans="1:11" ht="23.5">
      <c r="A4" s="25" t="s">
        <v>118</v>
      </c>
      <c r="D4" s="35" t="s">
        <v>12</v>
      </c>
      <c r="E4" s="24">
        <v>10000</v>
      </c>
      <c r="F4" s="24">
        <v>2</v>
      </c>
      <c r="G4" s="24">
        <f>E4*F4</f>
        <v>20000</v>
      </c>
      <c r="H4" s="24">
        <f>G4+G4*$J$4</f>
        <v>23600</v>
      </c>
      <c r="J4" s="24">
        <v>0.18</v>
      </c>
    </row>
    <row r="5" spans="1:11" ht="23.5">
      <c r="D5" s="35" t="s">
        <v>13</v>
      </c>
      <c r="E5" s="24">
        <v>2000</v>
      </c>
      <c r="F5" s="24">
        <v>3</v>
      </c>
      <c r="G5" s="24">
        <f t="shared" ref="G5:G10" si="0">E5*F5</f>
        <v>6000</v>
      </c>
      <c r="H5" s="24">
        <f t="shared" ref="H5:H10" si="1">G5+G5*$J$4</f>
        <v>7080</v>
      </c>
    </row>
    <row r="6" spans="1:11" ht="23.5">
      <c r="D6" s="35" t="s">
        <v>165</v>
      </c>
      <c r="E6" s="24">
        <v>1500</v>
      </c>
      <c r="F6" s="24">
        <v>4</v>
      </c>
      <c r="G6" s="24">
        <f t="shared" si="0"/>
        <v>6000</v>
      </c>
      <c r="H6" s="24">
        <f t="shared" si="1"/>
        <v>7080</v>
      </c>
    </row>
    <row r="7" spans="1:11" ht="23.5">
      <c r="A7" s="31" t="s">
        <v>119</v>
      </c>
      <c r="D7" s="35" t="s">
        <v>15</v>
      </c>
      <c r="E7" s="24">
        <v>1899</v>
      </c>
      <c r="F7" s="24">
        <v>5</v>
      </c>
      <c r="G7" s="24">
        <f t="shared" si="0"/>
        <v>9495</v>
      </c>
      <c r="H7" s="24">
        <f t="shared" si="1"/>
        <v>11204.1</v>
      </c>
    </row>
    <row r="8" spans="1:11" ht="23.5">
      <c r="A8" s="109" t="s">
        <v>120</v>
      </c>
      <c r="B8" s="109"/>
      <c r="D8" s="35" t="s">
        <v>166</v>
      </c>
      <c r="E8" s="24">
        <v>35000</v>
      </c>
      <c r="F8" s="24">
        <v>7</v>
      </c>
      <c r="G8" s="24">
        <f t="shared" si="0"/>
        <v>245000</v>
      </c>
      <c r="H8" s="24">
        <f t="shared" si="1"/>
        <v>289100</v>
      </c>
    </row>
    <row r="9" spans="1:11" ht="23.5">
      <c r="D9" s="35" t="s">
        <v>167</v>
      </c>
      <c r="E9" s="24">
        <v>1200</v>
      </c>
      <c r="F9" s="24">
        <v>8</v>
      </c>
      <c r="G9" s="24">
        <f t="shared" si="0"/>
        <v>9600</v>
      </c>
      <c r="H9" s="24">
        <f t="shared" si="1"/>
        <v>11328</v>
      </c>
    </row>
    <row r="10" spans="1:11" ht="23.5">
      <c r="A10" s="24" t="str">
        <f ca="1">_xlfn.FORMULATEXT(H4)</f>
        <v>=G4+G4*$J$4</v>
      </c>
      <c r="D10" s="35" t="s">
        <v>168</v>
      </c>
      <c r="E10" s="24">
        <v>80000</v>
      </c>
      <c r="F10" s="24">
        <v>9</v>
      </c>
      <c r="G10" s="24">
        <f t="shared" si="0"/>
        <v>720000</v>
      </c>
      <c r="H10" s="24">
        <f t="shared" si="1"/>
        <v>849600</v>
      </c>
    </row>
    <row r="12" spans="1:11">
      <c r="A12" s="24" t="str">
        <f ca="1">_xlfn.FORMULATEXT(H8)</f>
        <v>=G8+G8*$J$4</v>
      </c>
    </row>
    <row r="13" spans="1:11">
      <c r="A13" s="24" t="str">
        <f ca="1">_xlfn.FORMULATEXT(H4)</f>
        <v>=G4+G4*$J$4</v>
      </c>
    </row>
  </sheetData>
  <customSheetViews>
    <customSheetView guid="{C78E632C-B4DE-416E-9417-BD43377A5CED}" scale="115">
      <selection activeCell="C12" sqref="C12"/>
      <pageMargins left="0.7" right="0.7" top="0.75" bottom="0.75" header="0.3" footer="0.3"/>
      <pageSetup orientation="portrait" r:id="rId1"/>
    </customSheetView>
    <customSheetView guid="{9C3B3B08-E836-4187-9F54-85567FC2169E}" scale="115">
      <selection activeCell="C12" sqref="C12"/>
      <pageMargins left="0.7" right="0.7" top="0.75" bottom="0.75" header="0.3" footer="0.3"/>
      <pageSetup orientation="portrait" r:id="rId2"/>
    </customSheetView>
    <customSheetView guid="{BD3EB043-29D0-4252-8BB4-3D6D39776A99}" scale="115">
      <selection activeCell="C12" sqref="C12"/>
      <pageMargins left="0.7" right="0.7" top="0.75" bottom="0.75" header="0.3" footer="0.3"/>
      <pageSetup orientation="portrait" r:id="rId3"/>
    </customSheetView>
  </customSheetViews>
  <mergeCells count="2">
    <mergeCell ref="C1:K1"/>
    <mergeCell ref="A8:B8"/>
  </mergeCells>
  <pageMargins left="0.7" right="0.7" top="0.75" bottom="0.75" header="0.3" footer="0.3"/>
  <pageSetup orientation="portrait" r:id="rId4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14"/>
  <sheetViews>
    <sheetView zoomScale="160" zoomScaleNormal="160" workbookViewId="0">
      <selection activeCell="C5" sqref="C5"/>
    </sheetView>
  </sheetViews>
  <sheetFormatPr defaultRowHeight="14.5"/>
  <cols>
    <col min="2" max="2" width="10.7265625" bestFit="1" customWidth="1"/>
    <col min="3" max="3" width="7.7265625" bestFit="1" customWidth="1"/>
  </cols>
  <sheetData>
    <row r="2" spans="2:7">
      <c r="B2" t="s">
        <v>81</v>
      </c>
      <c r="C2" t="s">
        <v>122</v>
      </c>
      <c r="E2" s="110" t="s">
        <v>172</v>
      </c>
      <c r="F2" s="110"/>
      <c r="G2" s="110"/>
    </row>
    <row r="3" spans="2:7">
      <c r="B3" s="32" t="s">
        <v>121</v>
      </c>
      <c r="C3" s="44">
        <f>8*2+9-8/4</f>
        <v>23</v>
      </c>
    </row>
    <row r="4" spans="2:7">
      <c r="E4" t="s">
        <v>128</v>
      </c>
      <c r="F4" t="s">
        <v>173</v>
      </c>
    </row>
    <row r="5" spans="2:7">
      <c r="C5">
        <f>8*2+9-8/4</f>
        <v>23</v>
      </c>
      <c r="E5">
        <v>2015</v>
      </c>
      <c r="F5">
        <v>3</v>
      </c>
    </row>
    <row r="6" spans="2:7">
      <c r="E6">
        <v>2015</v>
      </c>
      <c r="F6">
        <v>232</v>
      </c>
    </row>
    <row r="7" spans="2:7">
      <c r="E7">
        <v>2015</v>
      </c>
      <c r="F7">
        <v>34</v>
      </c>
    </row>
    <row r="8" spans="2:7">
      <c r="E8">
        <v>2016</v>
      </c>
      <c r="F8">
        <v>24</v>
      </c>
    </row>
    <row r="9" spans="2:7">
      <c r="E9">
        <v>2016</v>
      </c>
      <c r="F9">
        <v>32</v>
      </c>
    </row>
    <row r="10" spans="2:7">
      <c r="E10">
        <v>2016</v>
      </c>
      <c r="F10">
        <v>4</v>
      </c>
    </row>
    <row r="11" spans="2:7">
      <c r="E11">
        <v>2016</v>
      </c>
      <c r="F11">
        <v>324</v>
      </c>
    </row>
    <row r="12" spans="2:7">
      <c r="E12">
        <v>2017</v>
      </c>
      <c r="F12">
        <v>24</v>
      </c>
    </row>
    <row r="13" spans="2:7">
      <c r="E13">
        <v>2017</v>
      </c>
    </row>
    <row r="14" spans="2:7">
      <c r="E14">
        <v>2018</v>
      </c>
    </row>
  </sheetData>
  <customSheetViews>
    <customSheetView guid="{C78E632C-B4DE-416E-9417-BD43377A5CED}" scale="99">
      <selection activeCell="K7" sqref="K7"/>
      <pageMargins left="0.7" right="0.7" top="0.75" bottom="0.75" header="0.3" footer="0.3"/>
    </customSheetView>
    <customSheetView guid="{9C3B3B08-E836-4187-9F54-85567FC2169E}" scale="99">
      <selection activeCell="K7" sqref="K7"/>
      <pageMargins left="0.7" right="0.7" top="0.75" bottom="0.75" header="0.3" footer="0.3"/>
    </customSheetView>
    <customSheetView guid="{BD3EB043-29D0-4252-8BB4-3D6D39776A99}" scale="99">
      <selection activeCell="K7" sqref="K7"/>
      <pageMargins left="0.7" right="0.7" top="0.75" bottom="0.75" header="0.3" footer="0.3"/>
    </customSheetView>
  </customSheetViews>
  <mergeCells count="1">
    <mergeCell ref="E2:G2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7"/>
  <sheetViews>
    <sheetView topLeftCell="C1" zoomScaleNormal="100" workbookViewId="0">
      <selection activeCell="L23" sqref="L23"/>
    </sheetView>
  </sheetViews>
  <sheetFormatPr defaultRowHeight="14.5"/>
  <cols>
    <col min="1" max="1" width="12.6328125" customWidth="1"/>
    <col min="2" max="2" width="12.6328125" bestFit="1" customWidth="1"/>
    <col min="3" max="3" width="12.36328125" bestFit="1" customWidth="1"/>
    <col min="4" max="4" width="14" bestFit="1" customWidth="1"/>
    <col min="5" max="5" width="14" customWidth="1"/>
    <col min="6" max="6" width="6.36328125" customWidth="1"/>
    <col min="7" max="7" width="7.36328125" customWidth="1"/>
    <col min="8" max="8" width="9.7265625" bestFit="1" customWidth="1"/>
    <col min="9" max="9" width="7" customWidth="1"/>
    <col min="10" max="10" width="22" bestFit="1" customWidth="1"/>
    <col min="11" max="11" width="12.453125" bestFit="1" customWidth="1"/>
    <col min="12" max="12" width="15.6328125" bestFit="1" customWidth="1"/>
    <col min="13" max="13" width="13.08984375" bestFit="1" customWidth="1"/>
    <col min="14" max="14" width="18.08984375" bestFit="1" customWidth="1"/>
  </cols>
  <sheetData>
    <row r="1" spans="1:14">
      <c r="A1" t="s">
        <v>123</v>
      </c>
    </row>
    <row r="2" spans="1:14">
      <c r="A2" t="s">
        <v>124</v>
      </c>
      <c r="E2" t="s">
        <v>223</v>
      </c>
    </row>
    <row r="3" spans="1:14">
      <c r="A3" t="s">
        <v>125</v>
      </c>
      <c r="E3" t="s">
        <v>226</v>
      </c>
      <c r="F3" t="s">
        <v>227</v>
      </c>
    </row>
    <row r="4" spans="1:14">
      <c r="A4" t="s">
        <v>126</v>
      </c>
    </row>
    <row r="6" spans="1:14">
      <c r="K6" s="27" t="s">
        <v>224</v>
      </c>
      <c r="L6" s="32" t="s">
        <v>225</v>
      </c>
    </row>
    <row r="7" spans="1:14" ht="23.5">
      <c r="A7" s="45" t="s">
        <v>108</v>
      </c>
      <c r="B7" s="45" t="s">
        <v>210</v>
      </c>
      <c r="C7" s="45" t="s">
        <v>211</v>
      </c>
      <c r="D7" s="45" t="s">
        <v>212</v>
      </c>
      <c r="E7" s="45" t="s">
        <v>222</v>
      </c>
      <c r="F7" s="45" t="s">
        <v>213</v>
      </c>
      <c r="G7" s="45" t="s">
        <v>214</v>
      </c>
      <c r="H7" s="45" t="s">
        <v>215</v>
      </c>
      <c r="I7" s="45" t="s">
        <v>216</v>
      </c>
      <c r="J7" s="45" t="s">
        <v>217</v>
      </c>
      <c r="K7" s="45" t="s">
        <v>218</v>
      </c>
      <c r="L7" s="45" t="s">
        <v>219</v>
      </c>
      <c r="M7" s="45" t="s">
        <v>220</v>
      </c>
      <c r="N7" s="45" t="s">
        <v>221</v>
      </c>
    </row>
    <row r="8" spans="1:14">
      <c r="A8" t="s">
        <v>39</v>
      </c>
      <c r="B8" t="str">
        <f>TRIM(A8)</f>
        <v>Sandeep</v>
      </c>
      <c r="C8" t="str">
        <f>PROPER(B8)</f>
        <v>Sandeep</v>
      </c>
      <c r="D8" t="str">
        <f>UPPER(C8)</f>
        <v>SANDEEP</v>
      </c>
      <c r="E8" t="str">
        <f>LOWER(B8)</f>
        <v>sandeep</v>
      </c>
      <c r="F8">
        <f>LEN(E8)</f>
        <v>7</v>
      </c>
      <c r="G8" t="str">
        <f>LEFT(D8,2)</f>
        <v>SA</v>
      </c>
      <c r="H8" t="str">
        <f>RIGHT(E8,3)</f>
        <v>eep</v>
      </c>
      <c r="I8" t="str">
        <f>MID(E8,3,3)</f>
        <v>nde</v>
      </c>
      <c r="J8" t="str">
        <f>CONCATENATE(E8,",",F8,",",G8,",",H8)</f>
        <v>sandeep,7,SA,eep</v>
      </c>
      <c r="K8">
        <f>FIND("deep",E8,1)</f>
        <v>4</v>
      </c>
      <c r="L8" t="str">
        <f>IFERROR(SEARCH("m",B8,3),"Not Found")</f>
        <v>Not Found</v>
      </c>
      <c r="M8" t="str">
        <f>REPLACE(A8,4,4,"a")</f>
        <v>Sana</v>
      </c>
      <c r="N8" t="str">
        <f>SUBSTITUTE(E8,"e","o")</f>
        <v>sandoop</v>
      </c>
    </row>
    <row r="9" spans="1:14">
      <c r="A9" t="s">
        <v>40</v>
      </c>
      <c r="B9" t="str">
        <f t="shared" ref="B9:B17" si="0">TRIM(A9)</f>
        <v>Suneel</v>
      </c>
      <c r="C9" t="str">
        <f t="shared" ref="C9:C17" si="1">PROPER(B9)</f>
        <v>Suneel</v>
      </c>
      <c r="D9" t="str">
        <f t="shared" ref="D9:D17" si="2">UPPER(C9)</f>
        <v>SUNEEL</v>
      </c>
      <c r="E9" t="str">
        <f t="shared" ref="E9:E17" si="3">LOWER(B9)</f>
        <v>suneel</v>
      </c>
      <c r="F9">
        <f t="shared" ref="F9:F17" si="4">LEN(E9)</f>
        <v>6</v>
      </c>
      <c r="G9" t="str">
        <f t="shared" ref="G9:G17" si="5">LEFT(D9,2)</f>
        <v>SU</v>
      </c>
      <c r="H9" t="str">
        <f t="shared" ref="H9:H17" si="6">RIGHT(E9,3)</f>
        <v>eel</v>
      </c>
      <c r="I9" t="str">
        <f t="shared" ref="I9:I17" si="7">MID(E9,3,3)</f>
        <v>nee</v>
      </c>
      <c r="J9" t="str">
        <f t="shared" ref="J9:J17" si="8">CONCATENATE(E9,",",F9,",",G9,",",H9)</f>
        <v>suneel,6,SU,eel</v>
      </c>
      <c r="K9" t="str">
        <f>IFERROR(FIND("deep",E9,1),"not found")</f>
        <v>not found</v>
      </c>
      <c r="L9" t="str">
        <f t="shared" ref="L9:L17" si="9">IFERROR(SEARCH("m",B9,3),"Not Found")</f>
        <v>Not Found</v>
      </c>
      <c r="M9" t="str">
        <f t="shared" ref="M9:M17" si="10">REPLACE(A9,4,4,"a")</f>
        <v>Suna</v>
      </c>
    </row>
    <row r="10" spans="1:14">
      <c r="A10" t="s">
        <v>203</v>
      </c>
      <c r="B10" t="str">
        <f t="shared" si="0"/>
        <v>Jay</v>
      </c>
      <c r="C10" t="str">
        <f t="shared" si="1"/>
        <v>Jay</v>
      </c>
      <c r="D10" t="str">
        <f t="shared" si="2"/>
        <v>JAY</v>
      </c>
      <c r="E10" t="str">
        <f t="shared" si="3"/>
        <v>jay</v>
      </c>
      <c r="F10">
        <f t="shared" si="4"/>
        <v>3</v>
      </c>
      <c r="G10" t="str">
        <f t="shared" si="5"/>
        <v>JA</v>
      </c>
      <c r="H10" t="str">
        <f t="shared" si="6"/>
        <v>jay</v>
      </c>
      <c r="I10" t="str">
        <f t="shared" si="7"/>
        <v>y</v>
      </c>
      <c r="J10" t="str">
        <f t="shared" si="8"/>
        <v>jay,3,JA,jay</v>
      </c>
      <c r="K10" t="str">
        <f t="shared" ref="K10:K17" si="11">IFERROR(FIND("deep",E10,1),"not found")</f>
        <v>not found</v>
      </c>
      <c r="L10" t="str">
        <f t="shared" si="9"/>
        <v>Not Found</v>
      </c>
      <c r="M10" t="str">
        <f t="shared" si="10"/>
        <v xml:space="preserve">  Ja</v>
      </c>
    </row>
    <row r="11" spans="1:14">
      <c r="A11" t="s">
        <v>42</v>
      </c>
      <c r="B11" t="str">
        <f t="shared" si="0"/>
        <v>Rajan</v>
      </c>
      <c r="C11" t="str">
        <f t="shared" si="1"/>
        <v>Rajan</v>
      </c>
      <c r="D11" t="str">
        <f t="shared" si="2"/>
        <v>RAJAN</v>
      </c>
      <c r="E11" t="str">
        <f t="shared" si="3"/>
        <v>rajan</v>
      </c>
      <c r="F11">
        <f t="shared" si="4"/>
        <v>5</v>
      </c>
      <c r="G11" t="str">
        <f t="shared" si="5"/>
        <v>RA</v>
      </c>
      <c r="H11" t="str">
        <f t="shared" si="6"/>
        <v>jan</v>
      </c>
      <c r="I11" t="str">
        <f t="shared" si="7"/>
        <v>jan</v>
      </c>
      <c r="J11" t="str">
        <f t="shared" si="8"/>
        <v>rajan,5,RA,jan</v>
      </c>
      <c r="K11" t="str">
        <f t="shared" si="11"/>
        <v>not found</v>
      </c>
      <c r="L11" t="str">
        <f t="shared" si="9"/>
        <v>Not Found</v>
      </c>
      <c r="M11" t="str">
        <f t="shared" si="10"/>
        <v>Raja</v>
      </c>
    </row>
    <row r="12" spans="1:14">
      <c r="A12" t="s">
        <v>204</v>
      </c>
      <c r="B12" t="str">
        <f t="shared" si="0"/>
        <v>Gulshan</v>
      </c>
      <c r="C12" t="str">
        <f t="shared" si="1"/>
        <v>Gulshan</v>
      </c>
      <c r="D12" t="str">
        <f t="shared" si="2"/>
        <v>GULSHAN</v>
      </c>
      <c r="E12" t="str">
        <f t="shared" si="3"/>
        <v>gulshan</v>
      </c>
      <c r="F12">
        <f t="shared" si="4"/>
        <v>7</v>
      </c>
      <c r="G12" t="str">
        <f t="shared" si="5"/>
        <v>GU</v>
      </c>
      <c r="H12" t="str">
        <f t="shared" si="6"/>
        <v>han</v>
      </c>
      <c r="I12" t="str">
        <f t="shared" si="7"/>
        <v>lsh</v>
      </c>
      <c r="J12" t="str">
        <f t="shared" si="8"/>
        <v>gulshan,7,GU,han</v>
      </c>
      <c r="K12" t="str">
        <f t="shared" si="11"/>
        <v>not found</v>
      </c>
      <c r="L12" t="str">
        <f t="shared" si="9"/>
        <v>Not Found</v>
      </c>
      <c r="M12" t="str">
        <f t="shared" si="10"/>
        <v xml:space="preserve">  Gaan</v>
      </c>
    </row>
    <row r="13" spans="1:14">
      <c r="A13" t="s">
        <v>205</v>
      </c>
      <c r="B13" t="str">
        <f t="shared" si="0"/>
        <v>Prateek</v>
      </c>
      <c r="C13" t="str">
        <f t="shared" si="1"/>
        <v>Prateek</v>
      </c>
      <c r="D13" t="str">
        <f t="shared" si="2"/>
        <v>PRATEEK</v>
      </c>
      <c r="E13" t="str">
        <f t="shared" si="3"/>
        <v>prateek</v>
      </c>
      <c r="F13">
        <f t="shared" si="4"/>
        <v>7</v>
      </c>
      <c r="G13" t="str">
        <f t="shared" si="5"/>
        <v>PR</v>
      </c>
      <c r="H13" t="str">
        <f t="shared" si="6"/>
        <v>eek</v>
      </c>
      <c r="I13" t="str">
        <f t="shared" si="7"/>
        <v>ate</v>
      </c>
      <c r="J13" t="str">
        <f t="shared" si="8"/>
        <v>prateek,7,PR,eek</v>
      </c>
      <c r="K13" t="str">
        <f t="shared" si="11"/>
        <v>not found</v>
      </c>
      <c r="L13" t="str">
        <f t="shared" si="9"/>
        <v>Not Found</v>
      </c>
      <c r="M13" t="str">
        <f t="shared" si="10"/>
        <v xml:space="preserve"> Prak</v>
      </c>
    </row>
    <row r="14" spans="1:14">
      <c r="A14" t="s">
        <v>206</v>
      </c>
      <c r="B14" t="str">
        <f t="shared" si="0"/>
        <v>ranu</v>
      </c>
      <c r="C14" t="str">
        <f t="shared" si="1"/>
        <v>Ranu</v>
      </c>
      <c r="D14" t="str">
        <f t="shared" si="2"/>
        <v>RANU</v>
      </c>
      <c r="E14" t="str">
        <f t="shared" si="3"/>
        <v>ranu</v>
      </c>
      <c r="F14">
        <f t="shared" si="4"/>
        <v>4</v>
      </c>
      <c r="G14" t="str">
        <f t="shared" si="5"/>
        <v>RA</v>
      </c>
      <c r="H14" t="str">
        <f t="shared" si="6"/>
        <v>anu</v>
      </c>
      <c r="I14" t="str">
        <f t="shared" si="7"/>
        <v>nu</v>
      </c>
      <c r="J14" t="str">
        <f t="shared" si="8"/>
        <v>ranu,4,RA,anu</v>
      </c>
      <c r="K14" t="str">
        <f t="shared" si="11"/>
        <v>not found</v>
      </c>
      <c r="L14" t="str">
        <f t="shared" si="9"/>
        <v>Not Found</v>
      </c>
      <c r="M14" t="str">
        <f t="shared" si="10"/>
        <v>rana</v>
      </c>
    </row>
    <row r="15" spans="1:14">
      <c r="A15" t="s">
        <v>207</v>
      </c>
      <c r="B15" t="str">
        <f t="shared" si="0"/>
        <v>ducat</v>
      </c>
      <c r="C15" t="str">
        <f t="shared" si="1"/>
        <v>Ducat</v>
      </c>
      <c r="D15" t="str">
        <f t="shared" si="2"/>
        <v>DUCAT</v>
      </c>
      <c r="E15" t="str">
        <f t="shared" si="3"/>
        <v>ducat</v>
      </c>
      <c r="F15">
        <f t="shared" si="4"/>
        <v>5</v>
      </c>
      <c r="G15" t="str">
        <f t="shared" si="5"/>
        <v>DU</v>
      </c>
      <c r="H15" t="str">
        <f t="shared" si="6"/>
        <v>cat</v>
      </c>
      <c r="I15" t="str">
        <f t="shared" si="7"/>
        <v>cat</v>
      </c>
      <c r="J15" t="str">
        <f t="shared" si="8"/>
        <v>ducat,5,DU,cat</v>
      </c>
      <c r="K15" t="str">
        <f t="shared" si="11"/>
        <v>not found</v>
      </c>
      <c r="L15" t="str">
        <f t="shared" si="9"/>
        <v>Not Found</v>
      </c>
      <c r="M15" t="str">
        <f t="shared" si="10"/>
        <v>duca</v>
      </c>
    </row>
    <row r="16" spans="1:14">
      <c r="A16" t="s">
        <v>208</v>
      </c>
      <c r="B16" t="str">
        <f t="shared" si="0"/>
        <v>duCaT</v>
      </c>
      <c r="C16" t="str">
        <f t="shared" si="1"/>
        <v>Ducat</v>
      </c>
      <c r="D16" t="str">
        <f t="shared" si="2"/>
        <v>DUCAT</v>
      </c>
      <c r="E16" t="str">
        <f t="shared" si="3"/>
        <v>ducat</v>
      </c>
      <c r="F16">
        <f t="shared" si="4"/>
        <v>5</v>
      </c>
      <c r="G16" t="str">
        <f t="shared" si="5"/>
        <v>DU</v>
      </c>
      <c r="H16" t="str">
        <f t="shared" si="6"/>
        <v>cat</v>
      </c>
      <c r="I16" t="str">
        <f t="shared" si="7"/>
        <v>cat</v>
      </c>
      <c r="J16" t="str">
        <f t="shared" si="8"/>
        <v>ducat,5,DU,cat</v>
      </c>
      <c r="K16" t="str">
        <f t="shared" si="11"/>
        <v>not found</v>
      </c>
      <c r="L16" t="str">
        <f t="shared" si="9"/>
        <v>Not Found</v>
      </c>
      <c r="M16" t="str">
        <f t="shared" si="10"/>
        <v>duCa</v>
      </c>
    </row>
    <row r="17" spans="1:13">
      <c r="A17" t="s">
        <v>209</v>
      </c>
      <c r="B17" t="str">
        <f t="shared" si="0"/>
        <v>ShapeMySkillS</v>
      </c>
      <c r="C17" t="str">
        <f t="shared" si="1"/>
        <v>Shapemyskills</v>
      </c>
      <c r="D17" t="str">
        <f t="shared" si="2"/>
        <v>SHAPEMYSKILLS</v>
      </c>
      <c r="E17" t="str">
        <f t="shared" si="3"/>
        <v>shapemyskills</v>
      </c>
      <c r="F17">
        <f t="shared" si="4"/>
        <v>13</v>
      </c>
      <c r="G17" t="str">
        <f t="shared" si="5"/>
        <v>SH</v>
      </c>
      <c r="H17" t="str">
        <f t="shared" si="6"/>
        <v>lls</v>
      </c>
      <c r="I17" t="str">
        <f t="shared" si="7"/>
        <v>ape</v>
      </c>
      <c r="J17" t="str">
        <f t="shared" si="8"/>
        <v>shapemyskills,13,SH,lls</v>
      </c>
      <c r="K17" t="str">
        <f t="shared" si="11"/>
        <v>not found</v>
      </c>
      <c r="L17">
        <f t="shared" si="9"/>
        <v>6</v>
      </c>
      <c r="M17" t="str">
        <f t="shared" si="10"/>
        <v>ShaaSkillS</v>
      </c>
    </row>
  </sheetData>
  <customSheetViews>
    <customSheetView guid="{C78E632C-B4DE-416E-9417-BD43377A5CED}" scale="88">
      <selection activeCell="N22" sqref="N22"/>
      <pageMargins left="0.7" right="0.7" top="0.75" bottom="0.75" header="0.3" footer="0.3"/>
      <pageSetup orientation="portrait" r:id="rId1"/>
    </customSheetView>
    <customSheetView guid="{9C3B3B08-E836-4187-9F54-85567FC2169E}" scale="88">
      <selection activeCell="N22" sqref="N22"/>
      <pageMargins left="0.7" right="0.7" top="0.75" bottom="0.75" header="0.3" footer="0.3"/>
      <pageSetup orientation="portrait" r:id="rId2"/>
    </customSheetView>
    <customSheetView guid="{BD3EB043-29D0-4252-8BB4-3D6D39776A99}" scale="88">
      <selection activeCell="N22" sqref="N22"/>
      <pageMargins left="0.7" right="0.7" top="0.75" bottom="0.75" header="0.3" footer="0.3"/>
      <pageSetup orientation="portrait" r:id="rId3"/>
    </customSheetView>
  </customSheetViews>
  <pageMargins left="0.7" right="0.7" top="0.75" bottom="0.75" header="0.3" footer="0.3"/>
  <pageSetup orientation="portrait" r:id="rId4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workbookViewId="0">
      <selection activeCell="A9" sqref="A9"/>
    </sheetView>
  </sheetViews>
  <sheetFormatPr defaultRowHeight="14.5"/>
  <cols>
    <col min="1" max="1" width="18" bestFit="1" customWidth="1"/>
    <col min="2" max="2" width="19.36328125" customWidth="1"/>
    <col min="3" max="3" width="14.54296875" bestFit="1" customWidth="1"/>
    <col min="5" max="6" width="14.54296875" bestFit="1" customWidth="1"/>
    <col min="8" max="8" width="9.453125" bestFit="1" customWidth="1"/>
    <col min="9" max="9" width="10.453125" bestFit="1" customWidth="1"/>
    <col min="10" max="11" width="9.453125" bestFit="1" customWidth="1"/>
  </cols>
  <sheetData>
    <row r="1" spans="1:11" ht="21">
      <c r="A1" s="30" t="s">
        <v>132</v>
      </c>
      <c r="B1" s="30" t="s">
        <v>235</v>
      </c>
      <c r="E1" s="87">
        <f ca="1">NOW()</f>
        <v>45812.486670833336</v>
      </c>
      <c r="F1" s="29"/>
      <c r="I1" s="90">
        <v>45808</v>
      </c>
    </row>
    <row r="2" spans="1:11" ht="15.5">
      <c r="A2" s="33" t="s">
        <v>127</v>
      </c>
      <c r="B2" s="47" t="s">
        <v>236</v>
      </c>
      <c r="C2" s="87">
        <f ca="1">NOW()</f>
        <v>45812.486670833336</v>
      </c>
      <c r="E2" s="89"/>
      <c r="F2" s="29"/>
    </row>
    <row r="3" spans="1:11">
      <c r="A3" s="33" t="s">
        <v>128</v>
      </c>
      <c r="B3" t="s">
        <v>237</v>
      </c>
      <c r="C3">
        <f ca="1">YEAR(NOW())</f>
        <v>2025</v>
      </c>
      <c r="E3" s="29"/>
      <c r="F3" s="29"/>
      <c r="K3" s="81">
        <f>YEAR(I1)</f>
        <v>2025</v>
      </c>
    </row>
    <row r="4" spans="1:11">
      <c r="A4" s="33" t="s">
        <v>129</v>
      </c>
      <c r="E4" s="46"/>
      <c r="F4" s="29"/>
      <c r="H4" s="29"/>
      <c r="I4" s="29"/>
      <c r="J4" s="29"/>
      <c r="K4" s="81">
        <f>MONTH(I1)</f>
        <v>5</v>
      </c>
    </row>
    <row r="5" spans="1:11" ht="15.5">
      <c r="A5" s="33" t="s">
        <v>34</v>
      </c>
      <c r="B5" s="47" t="s">
        <v>239</v>
      </c>
      <c r="F5" s="29"/>
      <c r="K5">
        <f>DAY(I1)</f>
        <v>31</v>
      </c>
    </row>
    <row r="6" spans="1:11">
      <c r="A6" s="33" t="s">
        <v>130</v>
      </c>
      <c r="B6" t="s">
        <v>238</v>
      </c>
      <c r="F6" s="29"/>
      <c r="G6">
        <v>12</v>
      </c>
      <c r="H6">
        <v>5</v>
      </c>
      <c r="I6">
        <v>2012</v>
      </c>
      <c r="K6" s="29">
        <f>DATE(I6,G6,H6)</f>
        <v>41248</v>
      </c>
    </row>
    <row r="7" spans="1:11">
      <c r="A7" s="33" t="s">
        <v>131</v>
      </c>
      <c r="E7" s="46"/>
      <c r="F7" s="29"/>
    </row>
    <row r="8" spans="1:11">
      <c r="F8" s="29"/>
    </row>
    <row r="9" spans="1:11">
      <c r="A9" s="33" t="s">
        <v>133</v>
      </c>
      <c r="E9" s="29"/>
      <c r="F9" s="29"/>
    </row>
    <row r="10" spans="1:11" ht="18.5">
      <c r="A10" s="33" t="s">
        <v>134</v>
      </c>
      <c r="B10" s="34" t="s">
        <v>136</v>
      </c>
    </row>
    <row r="11" spans="1:11">
      <c r="A11" s="33" t="s">
        <v>135</v>
      </c>
    </row>
    <row r="13" spans="1:11">
      <c r="K13" t="s">
        <v>234</v>
      </c>
    </row>
    <row r="14" spans="1:11">
      <c r="F14" t="s">
        <v>228</v>
      </c>
      <c r="G14" t="s">
        <v>229</v>
      </c>
      <c r="H14" t="s">
        <v>230</v>
      </c>
      <c r="I14" t="s">
        <v>231</v>
      </c>
      <c r="J14" t="s">
        <v>232</v>
      </c>
      <c r="K14" t="s">
        <v>233</v>
      </c>
    </row>
    <row r="15" spans="1:11">
      <c r="B15" s="29">
        <v>45455</v>
      </c>
      <c r="F15">
        <v>2038</v>
      </c>
      <c r="G15">
        <v>12</v>
      </c>
      <c r="H15">
        <v>23</v>
      </c>
      <c r="I15" s="29">
        <f>DATE(F15,G15,H15)</f>
        <v>50762</v>
      </c>
      <c r="J15" s="29">
        <f>EDATE(I15,4)</f>
        <v>50883</v>
      </c>
      <c r="K15" s="29">
        <f>EDATE(J15,120)</f>
        <v>54536</v>
      </c>
    </row>
    <row r="16" spans="1:11">
      <c r="F16">
        <v>2038</v>
      </c>
      <c r="G16">
        <v>12</v>
      </c>
      <c r="H16">
        <v>23</v>
      </c>
      <c r="I16" s="29">
        <f t="shared" ref="I16:I21" si="0">DATE(F16,G16,H16)</f>
        <v>50762</v>
      </c>
      <c r="J16" s="29">
        <f t="shared" ref="J16:J21" si="1">EDATE(I16,4)</f>
        <v>50883</v>
      </c>
    </row>
    <row r="17" spans="6:10">
      <c r="F17">
        <v>2038</v>
      </c>
      <c r="G17">
        <v>12</v>
      </c>
      <c r="H17">
        <v>23</v>
      </c>
      <c r="I17" s="29">
        <f t="shared" si="0"/>
        <v>50762</v>
      </c>
      <c r="J17" s="29">
        <f t="shared" si="1"/>
        <v>50883</v>
      </c>
    </row>
    <row r="18" spans="6:10">
      <c r="F18">
        <v>2038</v>
      </c>
      <c r="G18">
        <v>12</v>
      </c>
      <c r="H18">
        <v>23</v>
      </c>
      <c r="I18" s="29">
        <f t="shared" si="0"/>
        <v>50762</v>
      </c>
      <c r="J18" s="29">
        <f t="shared" si="1"/>
        <v>50883</v>
      </c>
    </row>
    <row r="19" spans="6:10">
      <c r="F19">
        <v>2038</v>
      </c>
      <c r="G19">
        <v>12</v>
      </c>
      <c r="H19">
        <v>23</v>
      </c>
      <c r="I19" s="29">
        <f t="shared" si="0"/>
        <v>50762</v>
      </c>
      <c r="J19" s="29">
        <f t="shared" si="1"/>
        <v>50883</v>
      </c>
    </row>
    <row r="20" spans="6:10">
      <c r="F20">
        <v>2038</v>
      </c>
      <c r="G20">
        <v>12</v>
      </c>
      <c r="H20">
        <v>23</v>
      </c>
      <c r="I20" s="29">
        <f t="shared" si="0"/>
        <v>50762</v>
      </c>
      <c r="J20" s="29">
        <f t="shared" si="1"/>
        <v>50883</v>
      </c>
    </row>
    <row r="21" spans="6:10">
      <c r="F21">
        <v>2038</v>
      </c>
      <c r="G21">
        <v>12</v>
      </c>
      <c r="H21">
        <v>23</v>
      </c>
      <c r="I21" s="29">
        <f t="shared" si="0"/>
        <v>50762</v>
      </c>
      <c r="J21" s="29">
        <f t="shared" si="1"/>
        <v>50883</v>
      </c>
    </row>
  </sheetData>
  <customSheetViews>
    <customSheetView guid="{C78E632C-B4DE-416E-9417-BD43377A5CED}">
      <selection activeCell="B13" sqref="B13"/>
      <pageMargins left="0.7" right="0.7" top="0.75" bottom="0.75" header="0.3" footer="0.3"/>
      <pageSetup orientation="portrait" r:id="rId1"/>
    </customSheetView>
    <customSheetView guid="{9C3B3B08-E836-4187-9F54-85567FC2169E}">
      <selection activeCell="B13" sqref="B13"/>
      <pageMargins left="0.7" right="0.7" top="0.75" bottom="0.75" header="0.3" footer="0.3"/>
      <pageSetup orientation="portrait" r:id="rId2"/>
    </customSheetView>
    <customSheetView guid="{BD3EB043-29D0-4252-8BB4-3D6D39776A99}">
      <selection activeCell="B13" sqref="B13"/>
      <pageMargins left="0.7" right="0.7" top="0.75" bottom="0.75" header="0.3" footer="0.3"/>
      <pageSetup orientation="portrait" r:id="rId3"/>
    </customSheetView>
  </customSheetViews>
  <pageMargins left="0.7" right="0.7" top="0.75" bottom="0.75" header="0.3" footer="0.3"/>
  <pageSetup orientation="portrait" r:id="rId4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"/>
  <sheetViews>
    <sheetView zoomScale="145" zoomScaleNormal="145" workbookViewId="0">
      <selection activeCell="E3" sqref="E3"/>
    </sheetView>
  </sheetViews>
  <sheetFormatPr defaultRowHeight="14.5"/>
  <cols>
    <col min="1" max="1" width="16.90625" customWidth="1"/>
    <col min="2" max="2" width="13.1796875" bestFit="1" customWidth="1"/>
    <col min="3" max="3" width="9.90625" bestFit="1" customWidth="1"/>
    <col min="4" max="4" width="22.81640625" bestFit="1" customWidth="1"/>
    <col min="5" max="5" width="22" bestFit="1" customWidth="1"/>
    <col min="6" max="6" width="10.90625" bestFit="1" customWidth="1"/>
    <col min="7" max="7" width="13.54296875" bestFit="1" customWidth="1"/>
    <col min="8" max="8" width="19.36328125" bestFit="1" customWidth="1"/>
    <col min="9" max="9" width="16.1796875" bestFit="1" customWidth="1"/>
    <col min="10" max="10" width="21.26953125" bestFit="1" customWidth="1"/>
    <col min="11" max="11" width="13.81640625" bestFit="1" customWidth="1"/>
  </cols>
  <sheetData>
    <row r="1" spans="1:11">
      <c r="A1" s="92" t="s">
        <v>555</v>
      </c>
      <c r="B1" s="92" t="s">
        <v>554</v>
      </c>
      <c r="C1" s="92" t="s">
        <v>128</v>
      </c>
      <c r="D1" s="92" t="s">
        <v>556</v>
      </c>
      <c r="E1" s="92" t="s">
        <v>557</v>
      </c>
      <c r="F1" s="92"/>
      <c r="G1" s="99"/>
      <c r="H1" s="91"/>
    </row>
    <row r="2" spans="1:11">
      <c r="A2" s="93">
        <v>42436</v>
      </c>
      <c r="B2" s="97">
        <f ca="1">NOW()-A2</f>
        <v>3376.4866708333357</v>
      </c>
      <c r="C2" s="98">
        <f>YEAR(A2)</f>
        <v>2016</v>
      </c>
      <c r="D2" s="98">
        <f ca="1">NETWORKDAYS(A2,NOW())</f>
        <v>2413</v>
      </c>
      <c r="E2" s="100">
        <f ca="1">NETWORKDAYS.INTL(A2,NOW(),13)</f>
        <v>2894</v>
      </c>
      <c r="F2" s="96"/>
      <c r="G2" s="29">
        <v>45884</v>
      </c>
      <c r="H2" s="95"/>
      <c r="I2" s="29"/>
      <c r="J2" s="29"/>
      <c r="K2" s="29"/>
    </row>
    <row r="3" spans="1:11">
      <c r="A3" s="93">
        <v>42436</v>
      </c>
      <c r="B3" s="97">
        <f t="shared" ref="B3:B15" ca="1" si="0">NOW()-A3</f>
        <v>3376.4866708333357</v>
      </c>
      <c r="C3" s="98">
        <f t="shared" ref="C3:C15" si="1">YEAR(A3)</f>
        <v>2016</v>
      </c>
      <c r="D3" s="98">
        <f t="shared" ref="D3:D15" ca="1" si="2">NETWORKDAYS(A3,NOW())</f>
        <v>2413</v>
      </c>
      <c r="E3" s="94"/>
      <c r="F3" s="94"/>
      <c r="G3" s="95">
        <v>45684</v>
      </c>
      <c r="H3" s="95"/>
      <c r="I3" s="29"/>
      <c r="J3" s="29"/>
      <c r="K3" s="29"/>
    </row>
    <row r="4" spans="1:11">
      <c r="A4" s="93">
        <v>42436</v>
      </c>
      <c r="B4" s="97">
        <f t="shared" ca="1" si="0"/>
        <v>3376.4866708333357</v>
      </c>
      <c r="C4" s="98">
        <f t="shared" si="1"/>
        <v>2016</v>
      </c>
      <c r="D4" s="98">
        <f t="shared" ca="1" si="2"/>
        <v>2413</v>
      </c>
      <c r="E4" s="94"/>
      <c r="F4" s="94"/>
      <c r="G4" s="95">
        <v>45807</v>
      </c>
      <c r="H4" s="95"/>
      <c r="I4" s="29"/>
      <c r="J4" s="29"/>
      <c r="K4" s="29"/>
    </row>
    <row r="5" spans="1:11">
      <c r="A5" s="93">
        <v>42418</v>
      </c>
      <c r="B5" s="97">
        <f t="shared" ca="1" si="0"/>
        <v>3394.4866708333357</v>
      </c>
      <c r="C5" s="98">
        <f t="shared" si="1"/>
        <v>2016</v>
      </c>
      <c r="D5" s="98">
        <f t="shared" ca="1" si="2"/>
        <v>2425</v>
      </c>
      <c r="E5" s="94"/>
      <c r="F5" s="94"/>
      <c r="G5" s="95">
        <v>45806</v>
      </c>
      <c r="H5" s="95"/>
      <c r="I5" s="29"/>
      <c r="J5" s="29"/>
      <c r="K5" s="29"/>
    </row>
    <row r="6" spans="1:11">
      <c r="A6" s="93">
        <v>43414</v>
      </c>
      <c r="B6" s="97">
        <f t="shared" ca="1" si="0"/>
        <v>2398.4866708333357</v>
      </c>
      <c r="C6" s="98">
        <f t="shared" si="1"/>
        <v>2018</v>
      </c>
      <c r="D6" s="98">
        <f t="shared" ca="1" si="2"/>
        <v>1713</v>
      </c>
      <c r="E6" s="94"/>
      <c r="F6" s="94"/>
      <c r="G6" s="95"/>
      <c r="H6" s="95"/>
      <c r="I6" s="29"/>
      <c r="J6" s="29"/>
      <c r="K6" s="29"/>
    </row>
    <row r="7" spans="1:11">
      <c r="A7" s="93">
        <v>43414</v>
      </c>
      <c r="B7" s="97">
        <f t="shared" ca="1" si="0"/>
        <v>2398.4866708333357</v>
      </c>
      <c r="C7" s="98">
        <f t="shared" si="1"/>
        <v>2018</v>
      </c>
      <c r="D7" s="98">
        <f t="shared" ca="1" si="2"/>
        <v>1713</v>
      </c>
      <c r="E7" s="94"/>
      <c r="F7" s="94"/>
      <c r="G7" s="95"/>
      <c r="H7" s="95"/>
      <c r="I7" s="29"/>
      <c r="J7" s="29"/>
      <c r="K7" s="29"/>
    </row>
    <row r="8" spans="1:11">
      <c r="A8" s="93">
        <v>43817</v>
      </c>
      <c r="B8" s="97">
        <f t="shared" ca="1" si="0"/>
        <v>1995.4866708333357</v>
      </c>
      <c r="C8" s="98">
        <f t="shared" si="1"/>
        <v>2019</v>
      </c>
      <c r="D8" s="98">
        <f t="shared" ca="1" si="2"/>
        <v>1426</v>
      </c>
      <c r="E8" s="94"/>
      <c r="F8" s="94"/>
      <c r="G8" s="95"/>
      <c r="H8" s="95"/>
      <c r="I8" s="29"/>
      <c r="J8" s="29"/>
      <c r="K8" s="29"/>
    </row>
    <row r="9" spans="1:11">
      <c r="A9" s="93">
        <v>43179</v>
      </c>
      <c r="B9" s="97">
        <f t="shared" ca="1" si="0"/>
        <v>2633.4866708333357</v>
      </c>
      <c r="C9" s="98">
        <f t="shared" si="1"/>
        <v>2018</v>
      </c>
      <c r="D9" s="98">
        <f t="shared" ca="1" si="2"/>
        <v>1882</v>
      </c>
      <c r="E9" s="94"/>
      <c r="F9" s="94"/>
      <c r="G9" s="95"/>
      <c r="H9" s="95"/>
      <c r="I9" s="29"/>
      <c r="J9" s="29"/>
      <c r="K9" s="29"/>
    </row>
    <row r="10" spans="1:11">
      <c r="A10" s="93">
        <v>42503</v>
      </c>
      <c r="B10" s="97">
        <f t="shared" ca="1" si="0"/>
        <v>3309.4866708333357</v>
      </c>
      <c r="C10" s="98">
        <f t="shared" si="1"/>
        <v>2016</v>
      </c>
      <c r="D10" s="98">
        <f t="shared" ca="1" si="2"/>
        <v>2364</v>
      </c>
      <c r="E10" s="94"/>
      <c r="F10" s="94"/>
      <c r="G10" s="95"/>
      <c r="H10" s="95"/>
      <c r="I10" s="29"/>
      <c r="J10" s="29"/>
      <c r="K10" s="29"/>
    </row>
    <row r="11" spans="1:11">
      <c r="A11" s="93">
        <v>42503</v>
      </c>
      <c r="B11" s="97">
        <f t="shared" ca="1" si="0"/>
        <v>3309.4866708333357</v>
      </c>
      <c r="C11" s="98">
        <f t="shared" si="1"/>
        <v>2016</v>
      </c>
      <c r="D11" s="98">
        <f t="shared" ca="1" si="2"/>
        <v>2364</v>
      </c>
      <c r="E11" s="94"/>
      <c r="F11" s="94"/>
      <c r="G11" s="95"/>
      <c r="H11" s="95"/>
      <c r="I11" s="29"/>
      <c r="J11" s="29"/>
      <c r="K11" s="29"/>
    </row>
    <row r="12" spans="1:11">
      <c r="A12" s="93">
        <v>42668</v>
      </c>
      <c r="B12" s="97">
        <f t="shared" ca="1" si="0"/>
        <v>3144.4866708333357</v>
      </c>
      <c r="C12" s="98">
        <f t="shared" si="1"/>
        <v>2016</v>
      </c>
      <c r="D12" s="98">
        <f t="shared" ca="1" si="2"/>
        <v>2247</v>
      </c>
      <c r="E12" s="94"/>
      <c r="F12" s="94"/>
      <c r="G12" s="95"/>
      <c r="H12" s="95"/>
      <c r="I12" s="29"/>
      <c r="J12" s="29"/>
      <c r="K12" s="29"/>
    </row>
    <row r="13" spans="1:11">
      <c r="A13" s="93">
        <v>42482</v>
      </c>
      <c r="B13" s="97">
        <f t="shared" ca="1" si="0"/>
        <v>3330.4866708333357</v>
      </c>
      <c r="C13" s="98">
        <f t="shared" si="1"/>
        <v>2016</v>
      </c>
      <c r="D13" s="98">
        <f t="shared" ca="1" si="2"/>
        <v>2379</v>
      </c>
      <c r="E13" s="94"/>
      <c r="F13" s="94"/>
      <c r="G13" s="95"/>
      <c r="H13" s="95"/>
      <c r="I13" s="29"/>
      <c r="J13" s="29"/>
      <c r="K13" s="29"/>
    </row>
    <row r="14" spans="1:11">
      <c r="A14" s="93">
        <v>42482</v>
      </c>
      <c r="B14" s="97">
        <f t="shared" ca="1" si="0"/>
        <v>3330.4866708333357</v>
      </c>
      <c r="C14" s="98">
        <f t="shared" si="1"/>
        <v>2016</v>
      </c>
      <c r="D14" s="98">
        <f t="shared" ca="1" si="2"/>
        <v>2379</v>
      </c>
      <c r="E14" s="94"/>
      <c r="F14" s="94"/>
      <c r="G14" s="95"/>
      <c r="H14" s="95"/>
      <c r="I14" s="29"/>
      <c r="J14" s="29"/>
      <c r="K14" s="29"/>
    </row>
    <row r="15" spans="1:11">
      <c r="A15" s="93">
        <v>42735</v>
      </c>
      <c r="B15" s="97">
        <f t="shared" ca="1" si="0"/>
        <v>3077.4866708333357</v>
      </c>
      <c r="C15" s="98">
        <f t="shared" si="1"/>
        <v>2016</v>
      </c>
      <c r="D15" s="98">
        <f t="shared" ca="1" si="2"/>
        <v>2198</v>
      </c>
      <c r="E15" s="94"/>
      <c r="F15" s="94"/>
      <c r="G15" s="95"/>
      <c r="H15" s="95"/>
      <c r="I15" s="29"/>
      <c r="J15" s="29"/>
      <c r="K15" s="29"/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F3:M5"/>
  <sheetViews>
    <sheetView workbookViewId="0">
      <selection activeCell="I11" sqref="I11"/>
    </sheetView>
  </sheetViews>
  <sheetFormatPr defaultRowHeight="14.5"/>
  <cols>
    <col min="6" max="6" width="12.6328125" bestFit="1" customWidth="1"/>
    <col min="7" max="7" width="13.26953125" customWidth="1"/>
    <col min="8" max="8" width="14.08984375" bestFit="1" customWidth="1"/>
    <col min="9" max="9" width="18" bestFit="1" customWidth="1"/>
    <col min="13" max="13" width="22.08984375" bestFit="1" customWidth="1"/>
  </cols>
  <sheetData>
    <row r="3" spans="6:13">
      <c r="M3" t="s">
        <v>561</v>
      </c>
    </row>
    <row r="4" spans="6:13">
      <c r="F4" t="s">
        <v>558</v>
      </c>
      <c r="G4" t="s">
        <v>131</v>
      </c>
      <c r="H4" t="s">
        <v>559</v>
      </c>
      <c r="I4" t="s">
        <v>560</v>
      </c>
      <c r="M4" s="88">
        <v>45749</v>
      </c>
    </row>
    <row r="5" spans="6:13">
      <c r="F5" s="29">
        <v>45658</v>
      </c>
      <c r="G5" s="29">
        <v>46003</v>
      </c>
      <c r="H5" t="e">
        <f>NET</f>
        <v>#NAME?</v>
      </c>
      <c r="M5" s="29">
        <v>45909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20"/>
  <sheetViews>
    <sheetView zoomScale="108" zoomScaleNormal="108" workbookViewId="0">
      <selection activeCell="G2" sqref="G2"/>
    </sheetView>
  </sheetViews>
  <sheetFormatPr defaultRowHeight="14.5"/>
  <cols>
    <col min="1" max="1" width="7.08984375" bestFit="1" customWidth="1"/>
    <col min="2" max="2" width="5.453125" bestFit="1" customWidth="1"/>
    <col min="3" max="3" width="4.90625" bestFit="1" customWidth="1"/>
    <col min="4" max="4" width="7.453125" bestFit="1" customWidth="1"/>
    <col min="5" max="5" width="15.453125" bestFit="1" customWidth="1"/>
    <col min="6" max="6" width="9.90625" customWidth="1"/>
    <col min="8" max="8" width="15.7265625" bestFit="1" customWidth="1"/>
    <col min="9" max="9" width="13.7265625" bestFit="1" customWidth="1"/>
    <col min="10" max="10" width="61.453125" bestFit="1" customWidth="1"/>
  </cols>
  <sheetData>
    <row r="2" spans="1:11" ht="15" thickBot="1">
      <c r="G2">
        <v>2</v>
      </c>
      <c r="H2" s="38" t="s">
        <v>195</v>
      </c>
      <c r="J2" s="33" t="s">
        <v>194</v>
      </c>
      <c r="K2" s="33"/>
    </row>
    <row r="3" spans="1:11" ht="15" thickBot="1">
      <c r="H3" s="41"/>
      <c r="J3" s="33"/>
      <c r="K3" s="33"/>
    </row>
    <row r="4" spans="1:11" ht="18.5">
      <c r="A4" s="40" t="s">
        <v>108</v>
      </c>
      <c r="B4" s="40" t="s">
        <v>174</v>
      </c>
      <c r="C4" s="40" t="s">
        <v>175</v>
      </c>
      <c r="D4" s="40" t="s">
        <v>109</v>
      </c>
      <c r="E4" s="40" t="s">
        <v>176</v>
      </c>
      <c r="F4" s="27" t="s">
        <v>187</v>
      </c>
      <c r="J4" s="36" t="s">
        <v>188</v>
      </c>
      <c r="K4" s="33"/>
    </row>
    <row r="5" spans="1:11" ht="18.5">
      <c r="A5" s="39" t="s">
        <v>137</v>
      </c>
      <c r="B5" s="39">
        <v>23</v>
      </c>
      <c r="C5" s="39" t="s">
        <v>181</v>
      </c>
      <c r="D5" s="39">
        <v>54</v>
      </c>
      <c r="E5" s="39">
        <f>D5+21</f>
        <v>75</v>
      </c>
      <c r="J5" s="36" t="s">
        <v>189</v>
      </c>
      <c r="K5" s="33"/>
    </row>
    <row r="6" spans="1:11" ht="19" thickBot="1">
      <c r="A6" s="39" t="s">
        <v>138</v>
      </c>
      <c r="B6" s="39">
        <v>24</v>
      </c>
      <c r="C6" s="39" t="s">
        <v>141</v>
      </c>
      <c r="D6" s="39">
        <v>65</v>
      </c>
      <c r="E6" s="39">
        <f t="shared" ref="E6:E15" si="0">D6+21</f>
        <v>86</v>
      </c>
      <c r="G6">
        <v>3</v>
      </c>
      <c r="H6" s="40" t="s">
        <v>196</v>
      </c>
      <c r="I6" s="38" t="s">
        <v>197</v>
      </c>
      <c r="J6" s="36" t="s">
        <v>190</v>
      </c>
      <c r="K6" s="33"/>
    </row>
    <row r="7" spans="1:11" ht="19" thickBot="1">
      <c r="A7" s="39" t="s">
        <v>139</v>
      </c>
      <c r="B7" s="39">
        <v>54</v>
      </c>
      <c r="C7" s="39" t="s">
        <v>178</v>
      </c>
      <c r="D7" s="39">
        <v>76</v>
      </c>
      <c r="E7" s="39">
        <f t="shared" si="0"/>
        <v>97</v>
      </c>
      <c r="H7" s="41" t="s">
        <v>177</v>
      </c>
      <c r="I7" s="41" t="s">
        <v>182</v>
      </c>
      <c r="J7" s="36" t="s">
        <v>191</v>
      </c>
      <c r="K7" s="33"/>
    </row>
    <row r="8" spans="1:11" ht="18.5">
      <c r="A8" s="39" t="s">
        <v>140</v>
      </c>
      <c r="B8" s="39">
        <v>65</v>
      </c>
      <c r="C8" s="39" t="s">
        <v>182</v>
      </c>
      <c r="D8" s="39">
        <v>45</v>
      </c>
      <c r="E8" s="39">
        <f t="shared" si="0"/>
        <v>66</v>
      </c>
      <c r="J8" s="33"/>
      <c r="K8" s="33"/>
    </row>
    <row r="9" spans="1:11" ht="18.5">
      <c r="A9" s="39" t="s">
        <v>141</v>
      </c>
      <c r="B9" s="39">
        <v>12</v>
      </c>
      <c r="C9" s="39" t="s">
        <v>183</v>
      </c>
      <c r="D9" s="39">
        <v>12</v>
      </c>
      <c r="E9" s="39">
        <f t="shared" si="0"/>
        <v>33</v>
      </c>
      <c r="J9" s="33"/>
      <c r="K9" s="33"/>
    </row>
    <row r="10" spans="1:11" ht="18.5">
      <c r="A10" s="39" t="s">
        <v>142</v>
      </c>
      <c r="B10" s="39">
        <v>34</v>
      </c>
      <c r="C10" s="39" t="s">
        <v>141</v>
      </c>
      <c r="D10" s="39">
        <v>68</v>
      </c>
      <c r="E10" s="39">
        <f t="shared" si="0"/>
        <v>89</v>
      </c>
      <c r="J10" s="33"/>
      <c r="K10" s="33"/>
    </row>
    <row r="11" spans="1:11" ht="18.5">
      <c r="A11" s="39" t="s">
        <v>143</v>
      </c>
      <c r="B11" s="39">
        <v>56</v>
      </c>
      <c r="C11" s="39" t="s">
        <v>184</v>
      </c>
      <c r="D11" s="39">
        <v>5</v>
      </c>
      <c r="E11" s="39">
        <f t="shared" si="0"/>
        <v>26</v>
      </c>
      <c r="G11" t="s">
        <v>200</v>
      </c>
      <c r="J11" s="33"/>
      <c r="K11" s="33"/>
    </row>
    <row r="12" spans="1:11" ht="18.5">
      <c r="A12" s="39" t="s">
        <v>177</v>
      </c>
      <c r="B12" s="39">
        <v>78</v>
      </c>
      <c r="C12" s="39" t="s">
        <v>141</v>
      </c>
      <c r="D12" s="39">
        <v>23</v>
      </c>
      <c r="E12" s="39">
        <f t="shared" si="0"/>
        <v>44</v>
      </c>
      <c r="G12" s="42" t="s">
        <v>141</v>
      </c>
      <c r="I12" t="s">
        <v>198</v>
      </c>
      <c r="J12" s="37" t="s">
        <v>192</v>
      </c>
      <c r="K12" s="33"/>
    </row>
    <row r="13" spans="1:11" ht="18.5">
      <c r="A13" s="39" t="s">
        <v>178</v>
      </c>
      <c r="B13" s="39">
        <v>43</v>
      </c>
      <c r="C13" s="39" t="s">
        <v>141</v>
      </c>
      <c r="D13" s="39">
        <v>12</v>
      </c>
      <c r="E13" s="39">
        <f t="shared" si="0"/>
        <v>33</v>
      </c>
      <c r="I13" t="s">
        <v>199</v>
      </c>
      <c r="J13" s="37" t="s">
        <v>193</v>
      </c>
      <c r="K13" s="33"/>
    </row>
    <row r="14" spans="1:11" ht="18.5">
      <c r="A14" s="39" t="s">
        <v>179</v>
      </c>
      <c r="B14" s="39">
        <v>21</v>
      </c>
      <c r="C14" s="39" t="s">
        <v>185</v>
      </c>
      <c r="D14" s="39">
        <v>34</v>
      </c>
      <c r="E14" s="39">
        <f t="shared" si="0"/>
        <v>55</v>
      </c>
      <c r="J14" s="33"/>
      <c r="K14" s="33"/>
    </row>
    <row r="15" spans="1:11" ht="18.5">
      <c r="A15" s="39" t="s">
        <v>180</v>
      </c>
      <c r="B15" s="39">
        <v>29</v>
      </c>
      <c r="C15" s="39" t="s">
        <v>186</v>
      </c>
      <c r="D15" s="39">
        <v>21</v>
      </c>
      <c r="E15" s="39">
        <f t="shared" si="0"/>
        <v>42</v>
      </c>
      <c r="J15" s="33"/>
      <c r="K15" s="33"/>
    </row>
    <row r="16" spans="1:11">
      <c r="J16" s="33"/>
      <c r="K16" s="33"/>
    </row>
    <row r="17" spans="10:11">
      <c r="J17" s="33"/>
      <c r="K17" s="33"/>
    </row>
    <row r="18" spans="10:11">
      <c r="J18" s="33"/>
      <c r="K18" s="33"/>
    </row>
    <row r="19" spans="10:11">
      <c r="J19" s="33"/>
      <c r="K19" s="33"/>
    </row>
    <row r="20" spans="10:11">
      <c r="J20" s="33"/>
      <c r="K20" s="33"/>
    </row>
  </sheetData>
  <customSheetViews>
    <customSheetView guid="{C78E632C-B4DE-416E-9417-BD43377A5CED}" scale="108">
      <selection activeCell="F15" sqref="A4:F15"/>
      <pageMargins left="0.7" right="0.7" top="0.75" bottom="0.75" header="0.3" footer="0.3"/>
      <pageSetup orientation="portrait" r:id="rId1"/>
    </customSheetView>
    <customSheetView guid="{9C3B3B08-E836-4187-9F54-85567FC2169E}" scale="108">
      <selection activeCell="F15" sqref="A4:F15"/>
      <pageMargins left="0.7" right="0.7" top="0.75" bottom="0.75" header="0.3" footer="0.3"/>
      <pageSetup orientation="portrait" r:id="rId2"/>
    </customSheetView>
    <customSheetView guid="{BD3EB043-29D0-4252-8BB4-3D6D39776A99}" scale="108">
      <selection activeCell="F15" sqref="A4:F15"/>
      <pageMargins left="0.7" right="0.7" top="0.75" bottom="0.75" header="0.3" footer="0.3"/>
      <pageSetup orientation="portrait" r:id="rId3"/>
    </customSheetView>
  </customSheetViews>
  <conditionalFormatting sqref="A4:F15">
    <cfRule type="expression" dxfId="1" priority="1">
      <formula>A4=$G$12</formula>
    </cfRule>
  </conditionalFormatting>
  <pageMargins left="0.7" right="0.7" top="0.75" bottom="0.75" header="0.3" footer="0.3"/>
  <pageSetup orientation="portrait" r:id="rId4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6"/>
  <sheetViews>
    <sheetView workbookViewId="0">
      <selection activeCell="K22" sqref="K22"/>
    </sheetView>
  </sheetViews>
  <sheetFormatPr defaultRowHeight="14.5"/>
  <cols>
    <col min="8" max="8" width="16.36328125" bestFit="1" customWidth="1"/>
    <col min="11" max="11" width="13.453125" bestFit="1" customWidth="1"/>
  </cols>
  <sheetData>
    <row r="5" spans="1:11">
      <c r="A5" t="s">
        <v>108</v>
      </c>
      <c r="B5" t="s">
        <v>174</v>
      </c>
      <c r="C5" t="s">
        <v>175</v>
      </c>
      <c r="D5" t="s">
        <v>109</v>
      </c>
      <c r="E5" t="s">
        <v>176</v>
      </c>
      <c r="F5" t="s">
        <v>187</v>
      </c>
      <c r="G5" t="s">
        <v>201</v>
      </c>
    </row>
    <row r="6" spans="1:11">
      <c r="A6" t="s">
        <v>137</v>
      </c>
      <c r="B6" s="32">
        <v>0</v>
      </c>
      <c r="C6" t="s">
        <v>181</v>
      </c>
      <c r="D6">
        <v>54</v>
      </c>
      <c r="E6">
        <v>75</v>
      </c>
      <c r="G6" s="32" t="e">
        <f>D6/B6</f>
        <v>#DIV/0!</v>
      </c>
      <c r="H6">
        <f>IFERROR(G6,D6)</f>
        <v>54</v>
      </c>
    </row>
    <row r="7" spans="1:11">
      <c r="A7" t="s">
        <v>138</v>
      </c>
      <c r="B7">
        <v>24</v>
      </c>
      <c r="C7" t="s">
        <v>141</v>
      </c>
      <c r="D7">
        <v>65</v>
      </c>
      <c r="E7">
        <v>86</v>
      </c>
      <c r="G7">
        <f t="shared" ref="G7:G16" si="0">D7/B7</f>
        <v>2.7083333333333335</v>
      </c>
      <c r="H7">
        <f t="shared" ref="H7:H16" si="1">IFERROR(G7,D7)</f>
        <v>2.7083333333333335</v>
      </c>
      <c r="K7" s="43" t="s">
        <v>202</v>
      </c>
    </row>
    <row r="8" spans="1:11">
      <c r="A8" t="s">
        <v>139</v>
      </c>
      <c r="B8">
        <v>0</v>
      </c>
      <c r="C8" t="s">
        <v>178</v>
      </c>
      <c r="D8">
        <v>76</v>
      </c>
      <c r="E8">
        <v>97</v>
      </c>
      <c r="G8" t="e">
        <f t="shared" si="0"/>
        <v>#DIV/0!</v>
      </c>
      <c r="H8">
        <f t="shared" si="1"/>
        <v>76</v>
      </c>
    </row>
    <row r="9" spans="1:11">
      <c r="A9" t="s">
        <v>140</v>
      </c>
      <c r="B9">
        <v>0</v>
      </c>
      <c r="C9" t="s">
        <v>182</v>
      </c>
      <c r="D9">
        <v>45</v>
      </c>
      <c r="E9">
        <v>66</v>
      </c>
      <c r="G9" t="e">
        <f t="shared" si="0"/>
        <v>#DIV/0!</v>
      </c>
      <c r="H9">
        <f t="shared" si="1"/>
        <v>45</v>
      </c>
    </row>
    <row r="10" spans="1:11">
      <c r="A10" t="s">
        <v>141</v>
      </c>
      <c r="B10">
        <v>12</v>
      </c>
      <c r="C10" t="s">
        <v>183</v>
      </c>
      <c r="D10">
        <v>12</v>
      </c>
      <c r="E10">
        <v>33</v>
      </c>
      <c r="G10">
        <f t="shared" si="0"/>
        <v>1</v>
      </c>
      <c r="H10">
        <f t="shared" si="1"/>
        <v>1</v>
      </c>
    </row>
    <row r="11" spans="1:11">
      <c r="A11" t="s">
        <v>142</v>
      </c>
      <c r="B11">
        <v>34</v>
      </c>
      <c r="C11" t="s">
        <v>141</v>
      </c>
      <c r="D11">
        <v>68</v>
      </c>
      <c r="E11">
        <v>89</v>
      </c>
      <c r="G11">
        <f t="shared" si="0"/>
        <v>2</v>
      </c>
      <c r="H11">
        <f t="shared" si="1"/>
        <v>2</v>
      </c>
    </row>
    <row r="12" spans="1:11">
      <c r="A12" t="s">
        <v>143</v>
      </c>
      <c r="B12">
        <v>56</v>
      </c>
      <c r="C12" t="s">
        <v>184</v>
      </c>
      <c r="D12">
        <v>5</v>
      </c>
      <c r="E12">
        <v>26</v>
      </c>
      <c r="G12">
        <f t="shared" si="0"/>
        <v>8.9285714285714288E-2</v>
      </c>
      <c r="H12">
        <f t="shared" si="1"/>
        <v>8.9285714285714288E-2</v>
      </c>
    </row>
    <row r="13" spans="1:11">
      <c r="A13" t="s">
        <v>177</v>
      </c>
      <c r="B13">
        <v>78</v>
      </c>
      <c r="C13" t="s">
        <v>141</v>
      </c>
      <c r="D13">
        <v>23</v>
      </c>
      <c r="E13">
        <v>44</v>
      </c>
      <c r="G13">
        <f t="shared" si="0"/>
        <v>0.29487179487179488</v>
      </c>
      <c r="H13">
        <f t="shared" si="1"/>
        <v>0.29487179487179488</v>
      </c>
    </row>
    <row r="14" spans="1:11">
      <c r="A14" t="s">
        <v>178</v>
      </c>
      <c r="B14">
        <v>0</v>
      </c>
      <c r="C14" t="s">
        <v>141</v>
      </c>
      <c r="D14">
        <v>12</v>
      </c>
      <c r="E14">
        <v>33</v>
      </c>
      <c r="G14" t="e">
        <f t="shared" si="0"/>
        <v>#DIV/0!</v>
      </c>
      <c r="H14">
        <f t="shared" si="1"/>
        <v>12</v>
      </c>
    </row>
    <row r="15" spans="1:11">
      <c r="A15" t="s">
        <v>179</v>
      </c>
      <c r="B15">
        <v>21</v>
      </c>
      <c r="C15" t="s">
        <v>185</v>
      </c>
      <c r="D15">
        <v>34</v>
      </c>
      <c r="E15">
        <v>55</v>
      </c>
      <c r="G15">
        <f t="shared" si="0"/>
        <v>1.6190476190476191</v>
      </c>
      <c r="H15">
        <f t="shared" si="1"/>
        <v>1.6190476190476191</v>
      </c>
    </row>
    <row r="16" spans="1:11">
      <c r="A16" t="s">
        <v>180</v>
      </c>
      <c r="B16">
        <v>29</v>
      </c>
      <c r="C16" t="s">
        <v>186</v>
      </c>
      <c r="D16">
        <v>21</v>
      </c>
      <c r="E16">
        <v>42</v>
      </c>
      <c r="G16">
        <f t="shared" si="0"/>
        <v>0.72413793103448276</v>
      </c>
      <c r="H16">
        <f t="shared" si="1"/>
        <v>0.72413793103448276</v>
      </c>
    </row>
  </sheetData>
  <customSheetViews>
    <customSheetView guid="{C78E632C-B4DE-416E-9417-BD43377A5CED}">
      <selection activeCell="K22" sqref="K22"/>
      <pageMargins left="0.7" right="0.7" top="0.75" bottom="0.75" header="0.3" footer="0.3"/>
    </customSheetView>
    <customSheetView guid="{9C3B3B08-E836-4187-9F54-85567FC2169E}">
      <selection activeCell="K22" sqref="K22"/>
      <pageMargins left="0.7" right="0.7" top="0.75" bottom="0.75" header="0.3" footer="0.3"/>
    </customSheetView>
    <customSheetView guid="{BD3EB043-29D0-4252-8BB4-3D6D39776A99}">
      <selection activeCell="K22" sqref="K22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0"/>
  <sheetViews>
    <sheetView tabSelected="1" zoomScale="115" zoomScaleNormal="115" workbookViewId="0">
      <selection activeCell="I9" sqref="I9"/>
    </sheetView>
  </sheetViews>
  <sheetFormatPr defaultRowHeight="14.5"/>
  <cols>
    <col min="1" max="1" width="12.453125" bestFit="1" customWidth="1"/>
    <col min="2" max="2" width="5.7265625" bestFit="1" customWidth="1"/>
    <col min="3" max="3" width="5" bestFit="1" customWidth="1"/>
    <col min="4" max="4" width="10.54296875" bestFit="1" customWidth="1"/>
    <col min="5" max="5" width="11.90625" bestFit="1" customWidth="1"/>
    <col min="7" max="7" width="11.7265625" customWidth="1"/>
    <col min="8" max="8" width="6" customWidth="1"/>
    <col min="9" max="9" width="5.6328125" customWidth="1"/>
    <col min="10" max="10" width="12.1796875" customWidth="1"/>
    <col min="11" max="11" width="9.453125" customWidth="1"/>
    <col min="12" max="12" width="11.90625" bestFit="1" customWidth="1"/>
    <col min="14" max="14" width="11.1796875" bestFit="1" customWidth="1"/>
    <col min="16" max="16" width="14.1796875" bestFit="1" customWidth="1"/>
    <col min="22" max="22" width="11.6328125" bestFit="1" customWidth="1"/>
  </cols>
  <sheetData>
    <row r="1" spans="1:23">
      <c r="E1" t="s">
        <v>591</v>
      </c>
    </row>
    <row r="5" spans="1:23" ht="23.5">
      <c r="A5" s="35" t="s">
        <v>240</v>
      </c>
      <c r="H5" s="1" t="s">
        <v>253</v>
      </c>
      <c r="I5" s="1" t="s">
        <v>108</v>
      </c>
      <c r="J5" s="1"/>
      <c r="K5" s="1"/>
      <c r="L5" s="1"/>
    </row>
    <row r="7" spans="1:23">
      <c r="A7" s="1" t="s">
        <v>253</v>
      </c>
      <c r="B7" s="1" t="s">
        <v>108</v>
      </c>
      <c r="C7" s="1" t="s">
        <v>241</v>
      </c>
      <c r="D7" s="1" t="s">
        <v>243</v>
      </c>
      <c r="E7" s="1" t="s">
        <v>244</v>
      </c>
    </row>
    <row r="8" spans="1:23">
      <c r="A8">
        <v>23</v>
      </c>
      <c r="B8" t="s">
        <v>137</v>
      </c>
      <c r="C8">
        <v>2</v>
      </c>
      <c r="D8" t="s">
        <v>186</v>
      </c>
      <c r="E8">
        <v>1</v>
      </c>
    </row>
    <row r="9" spans="1:23">
      <c r="A9">
        <v>43</v>
      </c>
      <c r="B9" t="s">
        <v>138</v>
      </c>
      <c r="C9">
        <v>3</v>
      </c>
      <c r="D9" t="s">
        <v>185</v>
      </c>
      <c r="E9">
        <v>2</v>
      </c>
    </row>
    <row r="10" spans="1:23">
      <c r="A10">
        <v>123</v>
      </c>
      <c r="B10" t="s">
        <v>139</v>
      </c>
      <c r="C10">
        <v>4</v>
      </c>
      <c r="D10" t="s">
        <v>141</v>
      </c>
      <c r="E10">
        <v>3</v>
      </c>
      <c r="G10" s="27" t="s">
        <v>562</v>
      </c>
      <c r="H10" s="27" t="s">
        <v>566</v>
      </c>
      <c r="I10" s="27" t="s">
        <v>173</v>
      </c>
      <c r="J10" s="27" t="s">
        <v>583</v>
      </c>
      <c r="K10" s="27" t="s">
        <v>369</v>
      </c>
    </row>
    <row r="11" spans="1:23">
      <c r="A11">
        <v>234</v>
      </c>
      <c r="B11" t="s">
        <v>140</v>
      </c>
      <c r="C11">
        <v>5</v>
      </c>
      <c r="D11" t="s">
        <v>184</v>
      </c>
      <c r="E11">
        <v>4</v>
      </c>
      <c r="G11">
        <v>3444</v>
      </c>
      <c r="H11" t="str">
        <f>VLOOKUP(G$11,A$8:E15,2)</f>
        <v>G</v>
      </c>
      <c r="I11">
        <f>VLOOKUP(H$11,B$8:F15,2)</f>
        <v>8</v>
      </c>
      <c r="J11" t="str">
        <f>VLOOKUP(I$11,C$8:G15,2)</f>
        <v>U</v>
      </c>
      <c r="K11">
        <f>VLOOKUP(J$11,D$8:H15,2)</f>
        <v>5</v>
      </c>
    </row>
    <row r="12" spans="1:23">
      <c r="A12">
        <v>2342</v>
      </c>
      <c r="B12" t="s">
        <v>141</v>
      </c>
      <c r="C12">
        <v>6</v>
      </c>
      <c r="D12" t="s">
        <v>584</v>
      </c>
      <c r="E12">
        <v>5</v>
      </c>
      <c r="H12" s="4"/>
      <c r="I12" s="4"/>
      <c r="J12" s="4"/>
      <c r="K12" s="4"/>
    </row>
    <row r="13" spans="1:23">
      <c r="A13">
        <v>2344</v>
      </c>
      <c r="B13" t="s">
        <v>142</v>
      </c>
      <c r="C13">
        <v>7</v>
      </c>
      <c r="D13" t="s">
        <v>183</v>
      </c>
      <c r="E13">
        <v>6</v>
      </c>
      <c r="H13" s="4"/>
      <c r="I13" s="4"/>
      <c r="J13" s="4"/>
      <c r="K13" s="4"/>
    </row>
    <row r="14" spans="1:23">
      <c r="A14">
        <v>3444</v>
      </c>
      <c r="B14" t="s">
        <v>143</v>
      </c>
      <c r="C14">
        <v>8</v>
      </c>
      <c r="D14" t="s">
        <v>182</v>
      </c>
      <c r="E14">
        <v>7</v>
      </c>
      <c r="F14" t="s">
        <v>590</v>
      </c>
      <c r="H14" s="4"/>
      <c r="I14" s="4"/>
      <c r="J14" s="4"/>
      <c r="K14" s="4"/>
      <c r="L14" s="1" t="s">
        <v>253</v>
      </c>
      <c r="M14">
        <v>23</v>
      </c>
      <c r="N14">
        <v>43</v>
      </c>
      <c r="O14">
        <v>123</v>
      </c>
      <c r="P14">
        <v>234</v>
      </c>
      <c r="Q14">
        <v>2342</v>
      </c>
      <c r="R14">
        <v>2344</v>
      </c>
      <c r="S14">
        <v>3444</v>
      </c>
      <c r="T14">
        <v>23412</v>
      </c>
      <c r="V14" s="1" t="s">
        <v>585</v>
      </c>
      <c r="W14">
        <v>3444</v>
      </c>
    </row>
    <row r="15" spans="1:23">
      <c r="A15">
        <v>23412</v>
      </c>
      <c r="B15" t="s">
        <v>177</v>
      </c>
      <c r="C15">
        <v>89</v>
      </c>
      <c r="D15" t="s">
        <v>178</v>
      </c>
      <c r="E15">
        <v>8</v>
      </c>
      <c r="H15" s="4"/>
      <c r="I15" s="4"/>
      <c r="J15" s="4"/>
      <c r="K15" s="4"/>
      <c r="L15" s="1" t="s">
        <v>108</v>
      </c>
      <c r="M15" t="s">
        <v>137</v>
      </c>
      <c r="N15" t="s">
        <v>138</v>
      </c>
      <c r="O15" t="s">
        <v>139</v>
      </c>
      <c r="P15" t="s">
        <v>140</v>
      </c>
      <c r="Q15" t="s">
        <v>141</v>
      </c>
      <c r="R15" t="s">
        <v>142</v>
      </c>
      <c r="S15" t="s">
        <v>143</v>
      </c>
      <c r="T15" t="s">
        <v>177</v>
      </c>
      <c r="V15" s="1" t="s">
        <v>254</v>
      </c>
      <c r="W15" t="str">
        <f>HLOOKUP(W14,M14:T18,2)</f>
        <v>G</v>
      </c>
    </row>
    <row r="16" spans="1:23">
      <c r="H16" s="4"/>
      <c r="I16" s="4"/>
      <c r="J16" s="4"/>
      <c r="K16" s="4"/>
      <c r="L16" s="1" t="s">
        <v>241</v>
      </c>
      <c r="M16">
        <v>2</v>
      </c>
      <c r="N16">
        <v>3</v>
      </c>
      <c r="O16">
        <v>4</v>
      </c>
      <c r="P16">
        <v>5</v>
      </c>
      <c r="Q16">
        <v>6</v>
      </c>
      <c r="R16">
        <v>7</v>
      </c>
      <c r="S16">
        <v>8</v>
      </c>
      <c r="T16">
        <v>89</v>
      </c>
      <c r="V16" s="1" t="s">
        <v>260</v>
      </c>
      <c r="W16">
        <f>HLOOKUP(W15,M15:T19,2)</f>
        <v>8</v>
      </c>
    </row>
    <row r="17" spans="7:23">
      <c r="L17" s="1" t="s">
        <v>243</v>
      </c>
      <c r="M17" t="s">
        <v>186</v>
      </c>
      <c r="N17" t="s">
        <v>185</v>
      </c>
      <c r="O17" t="s">
        <v>141</v>
      </c>
      <c r="P17" t="s">
        <v>184</v>
      </c>
      <c r="Q17" t="s">
        <v>584</v>
      </c>
      <c r="R17" t="s">
        <v>183</v>
      </c>
      <c r="S17" t="s">
        <v>182</v>
      </c>
      <c r="T17" t="s">
        <v>178</v>
      </c>
      <c r="V17" s="1" t="s">
        <v>586</v>
      </c>
      <c r="W17" t="str">
        <f t="shared" ref="W17:W18" si="0">HLOOKUP(W16,M16:T20,2)</f>
        <v>U</v>
      </c>
    </row>
    <row r="18" spans="7:23">
      <c r="L18" s="1" t="s">
        <v>244</v>
      </c>
      <c r="M18">
        <v>1</v>
      </c>
      <c r="N18">
        <v>2</v>
      </c>
      <c r="O18">
        <v>3</v>
      </c>
      <c r="P18">
        <v>4</v>
      </c>
      <c r="Q18">
        <v>5</v>
      </c>
      <c r="R18">
        <v>6</v>
      </c>
      <c r="S18">
        <v>7</v>
      </c>
      <c r="T18">
        <v>8</v>
      </c>
      <c r="V18" s="1" t="s">
        <v>587</v>
      </c>
      <c r="W18">
        <f t="shared" si="0"/>
        <v>5</v>
      </c>
    </row>
    <row r="24" spans="7:23">
      <c r="G24" s="27" t="s">
        <v>563</v>
      </c>
    </row>
    <row r="25" spans="7:23">
      <c r="G25" s="27"/>
    </row>
    <row r="26" spans="7:23">
      <c r="N26" s="27"/>
      <c r="O26" s="4"/>
      <c r="P26" s="4"/>
    </row>
    <row r="27" spans="7:23">
      <c r="O27" s="4"/>
      <c r="P27" s="4"/>
    </row>
    <row r="28" spans="7:23">
      <c r="O28" s="4"/>
    </row>
    <row r="29" spans="7:23">
      <c r="O29" s="4"/>
    </row>
    <row r="30" spans="7:23">
      <c r="O30" s="4"/>
    </row>
  </sheetData>
  <sortState ref="A8:A15">
    <sortCondition ref="A8"/>
  </sortState>
  <customSheetViews>
    <customSheetView guid="{C78E632C-B4DE-416E-9417-BD43377A5CED}" scale="130">
      <selection activeCell="G9" sqref="G9"/>
      <pageMargins left="0.7" right="0.7" top="0.75" bottom="0.75" header="0.3" footer="0.3"/>
    </customSheetView>
    <customSheetView guid="{9C3B3B08-E836-4187-9F54-85567FC2169E}" scale="130">
      <selection activeCell="G9" sqref="G9"/>
      <pageMargins left="0.7" right="0.7" top="0.75" bottom="0.75" header="0.3" footer="0.3"/>
    </customSheetView>
    <customSheetView guid="{BD3EB043-29D0-4252-8BB4-3D6D39776A99}" scale="130">
      <selection activeCell="G9" sqref="G9"/>
      <pageMargins left="0.7" right="0.7" top="0.75" bottom="0.75" header="0.3" footer="0.3"/>
    </customSheetView>
  </customSheetViews>
  <dataValidations count="1">
    <dataValidation type="list" allowBlank="1" showInputMessage="1" showErrorMessage="1" sqref="H6 G11">
      <formula1>$A$8:$A$15</formula1>
    </dataValidation>
  </dataValidation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"/>
  <sheetViews>
    <sheetView workbookViewId="0">
      <selection activeCell="H18" sqref="H18"/>
    </sheetView>
  </sheetViews>
  <sheetFormatPr defaultRowHeight="14.5"/>
  <cols>
    <col min="1" max="1" width="9.36328125" bestFit="1" customWidth="1"/>
    <col min="2" max="2" width="5.7265625" bestFit="1" customWidth="1"/>
    <col min="3" max="3" width="5" bestFit="1" customWidth="1"/>
    <col min="4" max="4" width="10.54296875" bestFit="1" customWidth="1"/>
    <col min="5" max="5" width="11.90625" bestFit="1" customWidth="1"/>
    <col min="6" max="6" width="5.7265625" bestFit="1" customWidth="1"/>
    <col min="7" max="7" width="5" bestFit="1" customWidth="1"/>
    <col min="8" max="8" width="10.54296875" bestFit="1" customWidth="1"/>
    <col min="9" max="9" width="11.90625" bestFit="1" customWidth="1"/>
  </cols>
  <sheetData>
    <row r="1" spans="1:9">
      <c r="A1" s="1" t="s">
        <v>253</v>
      </c>
      <c r="B1" s="1" t="s">
        <v>108</v>
      </c>
      <c r="C1" s="1" t="s">
        <v>241</v>
      </c>
      <c r="D1" s="1" t="s">
        <v>243</v>
      </c>
      <c r="E1" s="1" t="s">
        <v>244</v>
      </c>
    </row>
    <row r="2" spans="1:9">
      <c r="A2">
        <v>23</v>
      </c>
      <c r="B2" t="s">
        <v>137</v>
      </c>
      <c r="C2">
        <v>1</v>
      </c>
      <c r="D2" t="s">
        <v>245</v>
      </c>
      <c r="E2">
        <v>3</v>
      </c>
    </row>
    <row r="3" spans="1:9">
      <c r="A3">
        <v>43</v>
      </c>
      <c r="B3" t="s">
        <v>255</v>
      </c>
      <c r="C3">
        <v>2</v>
      </c>
      <c r="D3" t="s">
        <v>246</v>
      </c>
      <c r="E3">
        <v>4</v>
      </c>
    </row>
    <row r="4" spans="1:9">
      <c r="A4">
        <v>123</v>
      </c>
      <c r="B4" t="s">
        <v>139</v>
      </c>
      <c r="C4">
        <v>3</v>
      </c>
      <c r="D4" t="s">
        <v>247</v>
      </c>
      <c r="E4">
        <v>5</v>
      </c>
    </row>
    <row r="5" spans="1:9">
      <c r="A5">
        <v>234</v>
      </c>
      <c r="B5" t="s">
        <v>140</v>
      </c>
      <c r="C5">
        <v>4</v>
      </c>
      <c r="D5" t="s">
        <v>248</v>
      </c>
      <c r="E5">
        <v>6</v>
      </c>
    </row>
    <row r="6" spans="1:9">
      <c r="A6">
        <v>2342</v>
      </c>
      <c r="B6" t="s">
        <v>141</v>
      </c>
      <c r="C6">
        <v>5</v>
      </c>
      <c r="D6" t="s">
        <v>249</v>
      </c>
      <c r="E6">
        <v>7</v>
      </c>
    </row>
    <row r="7" spans="1:9">
      <c r="A7">
        <v>2344</v>
      </c>
      <c r="B7" t="s">
        <v>142</v>
      </c>
      <c r="C7">
        <v>6</v>
      </c>
      <c r="D7" t="s">
        <v>250</v>
      </c>
      <c r="E7">
        <v>8</v>
      </c>
    </row>
    <row r="8" spans="1:9">
      <c r="A8">
        <v>3444</v>
      </c>
      <c r="B8" t="s">
        <v>143</v>
      </c>
      <c r="C8">
        <v>7</v>
      </c>
      <c r="D8" t="s">
        <v>251</v>
      </c>
      <c r="E8">
        <v>9</v>
      </c>
    </row>
    <row r="9" spans="1:9">
      <c r="A9">
        <v>23412</v>
      </c>
      <c r="B9" t="s">
        <v>242</v>
      </c>
      <c r="C9">
        <v>8</v>
      </c>
      <c r="D9" t="s">
        <v>252</v>
      </c>
      <c r="E9">
        <v>2</v>
      </c>
    </row>
    <row r="13" spans="1:9">
      <c r="E13" s="1" t="s">
        <v>253</v>
      </c>
      <c r="F13" s="1" t="s">
        <v>108</v>
      </c>
      <c r="G13" s="1" t="s">
        <v>241</v>
      </c>
      <c r="H13" s="1" t="s">
        <v>243</v>
      </c>
      <c r="I13" s="1" t="s">
        <v>244</v>
      </c>
    </row>
    <row r="14" spans="1:9">
      <c r="E14">
        <v>43</v>
      </c>
      <c r="F14" t="str">
        <f>VLOOKUP($E$14,$A$2:$E$9,MATCH(F13,$A$1:$E$1,0),0)</f>
        <v>Z</v>
      </c>
      <c r="G14">
        <f t="shared" ref="G14:I14" si="0">VLOOKUP($E$14,$A$2:$E$9,MATCH(G13,$A$1:$E$1,0),0)</f>
        <v>2</v>
      </c>
      <c r="H14" t="str">
        <f t="shared" si="0"/>
        <v>o</v>
      </c>
      <c r="I14">
        <f t="shared" si="0"/>
        <v>4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O21"/>
  <sheetViews>
    <sheetView topLeftCell="A5" workbookViewId="0">
      <selection activeCell="A10" sqref="A10:E18"/>
    </sheetView>
  </sheetViews>
  <sheetFormatPr defaultRowHeight="14.5"/>
  <cols>
    <col min="1" max="1" width="10.08984375" bestFit="1" customWidth="1"/>
    <col min="2" max="2" width="6.1796875" bestFit="1" customWidth="1"/>
    <col min="3" max="3" width="5.36328125" bestFit="1" customWidth="1"/>
    <col min="4" max="4" width="11.36328125" bestFit="1" customWidth="1"/>
    <col min="5" max="5" width="13" bestFit="1" customWidth="1"/>
    <col min="10" max="10" width="15" bestFit="1" customWidth="1"/>
    <col min="11" max="11" width="9.08984375" bestFit="1" customWidth="1"/>
    <col min="12" max="12" width="7.90625" bestFit="1" customWidth="1"/>
    <col min="13" max="13" width="17" bestFit="1" customWidth="1"/>
    <col min="14" max="14" width="19.08984375" bestFit="1" customWidth="1"/>
  </cols>
  <sheetData>
    <row r="7" spans="1:15" ht="23.5">
      <c r="J7" s="48"/>
      <c r="K7" s="48"/>
      <c r="L7" s="48"/>
      <c r="M7" s="48"/>
      <c r="N7" s="48"/>
      <c r="O7" s="51"/>
    </row>
    <row r="8" spans="1:15" ht="23.5">
      <c r="A8" s="15" t="s">
        <v>256</v>
      </c>
      <c r="B8" s="50"/>
      <c r="C8" s="50"/>
      <c r="D8" s="50"/>
      <c r="E8" s="50"/>
      <c r="F8" s="50"/>
      <c r="J8" s="51"/>
      <c r="K8" s="51"/>
      <c r="L8" s="51"/>
      <c r="M8" s="51"/>
      <c r="N8" s="51"/>
      <c r="O8" s="51"/>
    </row>
    <row r="9" spans="1:15" ht="23.5">
      <c r="A9" s="50"/>
      <c r="B9" s="50"/>
      <c r="C9" s="50"/>
      <c r="D9" s="50"/>
      <c r="E9" s="50"/>
      <c r="F9" s="50"/>
      <c r="J9" s="51"/>
      <c r="K9" s="51"/>
      <c r="L9" s="51"/>
      <c r="M9" s="51"/>
      <c r="N9" s="51"/>
      <c r="O9" s="51"/>
    </row>
    <row r="10" spans="1:15" ht="23.5">
      <c r="A10" s="49" t="s">
        <v>253</v>
      </c>
      <c r="B10" s="49" t="s">
        <v>108</v>
      </c>
      <c r="C10" s="49" t="s">
        <v>241</v>
      </c>
      <c r="D10" s="49" t="s">
        <v>243</v>
      </c>
      <c r="E10" s="49" t="s">
        <v>244</v>
      </c>
      <c r="F10" s="50"/>
      <c r="G10" s="49" t="s">
        <v>257</v>
      </c>
      <c r="H10" s="52" t="s">
        <v>251</v>
      </c>
      <c r="I10" s="52" t="s">
        <v>252</v>
      </c>
      <c r="J10" s="52" t="s">
        <v>258</v>
      </c>
      <c r="K10" s="52" t="s">
        <v>259</v>
      </c>
      <c r="L10" s="52"/>
      <c r="M10" s="51"/>
      <c r="N10" s="51"/>
      <c r="O10" s="51"/>
    </row>
    <row r="11" spans="1:15" ht="15.5">
      <c r="A11" s="50">
        <v>23</v>
      </c>
      <c r="B11" s="50" t="s">
        <v>137</v>
      </c>
      <c r="C11" s="50">
        <v>1</v>
      </c>
      <c r="D11" s="50" t="s">
        <v>245</v>
      </c>
      <c r="E11" s="50">
        <v>3</v>
      </c>
      <c r="F11" s="50"/>
      <c r="G11" s="49" t="s">
        <v>260</v>
      </c>
      <c r="H11" s="52">
        <v>1</v>
      </c>
      <c r="I11" s="52">
        <v>2</v>
      </c>
      <c r="J11" s="52">
        <v>23</v>
      </c>
      <c r="K11" s="52">
        <v>234</v>
      </c>
      <c r="L11" s="52"/>
    </row>
    <row r="12" spans="1:15" ht="15.5">
      <c r="A12" s="50">
        <v>43</v>
      </c>
      <c r="B12" s="50" t="s">
        <v>255</v>
      </c>
      <c r="C12" s="50">
        <v>2</v>
      </c>
      <c r="D12" s="50" t="s">
        <v>246</v>
      </c>
      <c r="E12" s="50">
        <v>4</v>
      </c>
      <c r="F12" s="50"/>
      <c r="G12" s="49" t="s">
        <v>254</v>
      </c>
      <c r="H12" s="52" t="s">
        <v>262</v>
      </c>
      <c r="I12" s="52" t="s">
        <v>259</v>
      </c>
      <c r="J12" s="52" t="s">
        <v>263</v>
      </c>
      <c r="K12" s="52" t="s">
        <v>264</v>
      </c>
      <c r="L12" s="52"/>
    </row>
    <row r="13" spans="1:15" ht="15.5">
      <c r="A13" s="50">
        <v>123</v>
      </c>
      <c r="B13" s="50" t="s">
        <v>139</v>
      </c>
      <c r="C13" s="50">
        <v>3</v>
      </c>
      <c r="D13" s="50" t="s">
        <v>247</v>
      </c>
      <c r="E13" s="50">
        <v>5</v>
      </c>
      <c r="F13" s="50"/>
      <c r="G13" s="49" t="s">
        <v>261</v>
      </c>
      <c r="H13" s="52">
        <v>1</v>
      </c>
      <c r="I13" s="52">
        <v>2</v>
      </c>
      <c r="J13" s="52">
        <v>34</v>
      </c>
      <c r="K13" s="52">
        <v>5</v>
      </c>
      <c r="L13" s="52"/>
    </row>
    <row r="14" spans="1:15" ht="15.5">
      <c r="A14" s="50">
        <v>234</v>
      </c>
      <c r="B14" s="50" t="s">
        <v>140</v>
      </c>
      <c r="C14" s="50">
        <v>4</v>
      </c>
      <c r="D14" s="50" t="s">
        <v>248</v>
      </c>
      <c r="E14" s="50">
        <v>6</v>
      </c>
      <c r="F14" s="50"/>
      <c r="G14" s="49"/>
      <c r="H14" s="52"/>
      <c r="I14" s="52"/>
      <c r="J14" s="52"/>
      <c r="K14" s="52"/>
      <c r="L14" s="52"/>
    </row>
    <row r="15" spans="1:15" ht="15.5">
      <c r="A15" s="50">
        <v>2342</v>
      </c>
      <c r="B15" s="50" t="s">
        <v>141</v>
      </c>
      <c r="C15" s="50">
        <v>5</v>
      </c>
      <c r="D15" s="50" t="s">
        <v>249</v>
      </c>
      <c r="E15" s="50">
        <v>7</v>
      </c>
      <c r="F15" s="50"/>
      <c r="G15" s="49"/>
      <c r="H15" s="52"/>
      <c r="I15" s="52"/>
      <c r="J15" s="52"/>
      <c r="K15" s="52"/>
      <c r="L15" s="52"/>
    </row>
    <row r="16" spans="1:15" ht="15.5">
      <c r="A16" s="50">
        <v>2344</v>
      </c>
      <c r="B16" s="50" t="s">
        <v>142</v>
      </c>
      <c r="C16" s="50">
        <v>6</v>
      </c>
      <c r="D16" s="50" t="s">
        <v>250</v>
      </c>
      <c r="E16" s="50">
        <v>8</v>
      </c>
      <c r="F16" s="50"/>
      <c r="G16" s="49"/>
      <c r="H16" s="52"/>
      <c r="I16" s="52"/>
      <c r="J16" s="52"/>
      <c r="K16" s="52"/>
      <c r="L16" s="52"/>
    </row>
    <row r="17" spans="1:10" ht="15.5">
      <c r="A17" s="50">
        <v>3444</v>
      </c>
      <c r="B17" s="50" t="s">
        <v>143</v>
      </c>
      <c r="C17" s="50">
        <v>7</v>
      </c>
      <c r="D17" s="50" t="s">
        <v>251</v>
      </c>
      <c r="E17" s="50">
        <v>9</v>
      </c>
      <c r="F17" s="50"/>
      <c r="G17" s="49"/>
    </row>
    <row r="18" spans="1:10" ht="15.5">
      <c r="A18" s="50">
        <v>23412</v>
      </c>
      <c r="B18" s="50" t="s">
        <v>242</v>
      </c>
      <c r="C18" s="50">
        <v>8</v>
      </c>
      <c r="D18" s="50" t="s">
        <v>252</v>
      </c>
      <c r="E18" s="50">
        <v>2</v>
      </c>
      <c r="F18" s="50"/>
      <c r="G18" s="49"/>
      <c r="I18" s="49" t="s">
        <v>265</v>
      </c>
      <c r="J18" t="s">
        <v>252</v>
      </c>
    </row>
    <row r="19" spans="1:10" ht="15.5">
      <c r="A19" s="50"/>
      <c r="B19" s="50"/>
      <c r="C19" s="50"/>
      <c r="D19" s="50"/>
      <c r="E19" s="50"/>
      <c r="F19" s="50"/>
      <c r="I19" s="49" t="s">
        <v>260</v>
      </c>
      <c r="J19">
        <f>HLOOKUP($J$18,$H$10:$K$13,ROWS($J$18:J19),0)</f>
        <v>2</v>
      </c>
    </row>
    <row r="20" spans="1:10" ht="15.5">
      <c r="I20" s="49" t="s">
        <v>254</v>
      </c>
      <c r="J20" t="str">
        <f>HLOOKUP($J$18,$H$10:$K$13,ROWS($J$18:J20),0)</f>
        <v>s</v>
      </c>
    </row>
    <row r="21" spans="1:10" ht="15.5">
      <c r="I21" s="49" t="s">
        <v>261</v>
      </c>
      <c r="J21">
        <f>HLOOKUP($J$18,$H$10:$K$13,ROWS($J$18:J21),0)</f>
        <v>2</v>
      </c>
    </row>
  </sheetData>
  <customSheetViews>
    <customSheetView guid="{C78E632C-B4DE-416E-9417-BD43377A5CED}" topLeftCell="A5">
      <selection activeCell="F16" sqref="F16"/>
      <pageMargins left="0.7" right="0.7" top="0.75" bottom="0.75" header="0.3" footer="0.3"/>
    </customSheetView>
    <customSheetView guid="{9C3B3B08-E836-4187-9F54-85567FC2169E}" topLeftCell="A5">
      <selection activeCell="F16" sqref="F16"/>
      <pageMargins left="0.7" right="0.7" top="0.75" bottom="0.75" header="0.3" footer="0.3"/>
    </customSheetView>
    <customSheetView guid="{BD3EB043-29D0-4252-8BB4-3D6D39776A99}" topLeftCell="A5">
      <selection activeCell="F16" sqref="F16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"/>
  <sheetViews>
    <sheetView workbookViewId="0">
      <selection activeCell="D9" sqref="D9"/>
    </sheetView>
  </sheetViews>
  <sheetFormatPr defaultRowHeight="14.5"/>
  <sheetData>
    <row r="1" spans="1:11">
      <c r="A1" s="1" t="s">
        <v>253</v>
      </c>
      <c r="B1" s="1" t="s">
        <v>108</v>
      </c>
      <c r="C1" s="1" t="s">
        <v>241</v>
      </c>
      <c r="D1" s="1" t="s">
        <v>243</v>
      </c>
      <c r="E1" s="1" t="s">
        <v>244</v>
      </c>
    </row>
    <row r="2" spans="1:11">
      <c r="A2">
        <v>23</v>
      </c>
      <c r="B2" t="s">
        <v>137</v>
      </c>
      <c r="C2">
        <v>1</v>
      </c>
      <c r="D2" t="s">
        <v>245</v>
      </c>
      <c r="E2">
        <v>3</v>
      </c>
    </row>
    <row r="3" spans="1:11">
      <c r="A3">
        <v>43</v>
      </c>
      <c r="B3" t="s">
        <v>255</v>
      </c>
      <c r="C3">
        <v>2</v>
      </c>
      <c r="D3" t="s">
        <v>246</v>
      </c>
      <c r="E3">
        <v>4</v>
      </c>
    </row>
    <row r="4" spans="1:11">
      <c r="A4">
        <v>123</v>
      </c>
      <c r="B4" t="s">
        <v>139</v>
      </c>
      <c r="C4">
        <v>3</v>
      </c>
      <c r="D4" t="s">
        <v>247</v>
      </c>
      <c r="E4">
        <v>5</v>
      </c>
    </row>
    <row r="5" spans="1:11">
      <c r="A5">
        <v>234</v>
      </c>
      <c r="B5" t="s">
        <v>140</v>
      </c>
      <c r="C5">
        <v>4</v>
      </c>
      <c r="D5" t="s">
        <v>248</v>
      </c>
      <c r="E5">
        <v>6</v>
      </c>
      <c r="J5" t="s">
        <v>266</v>
      </c>
      <c r="K5" t="s">
        <v>108</v>
      </c>
    </row>
    <row r="6" spans="1:11">
      <c r="A6">
        <v>2342</v>
      </c>
      <c r="B6" t="s">
        <v>141</v>
      </c>
      <c r="C6">
        <v>5</v>
      </c>
      <c r="D6" t="s">
        <v>249</v>
      </c>
      <c r="E6">
        <v>7</v>
      </c>
      <c r="J6">
        <v>23</v>
      </c>
    </row>
    <row r="7" spans="1:11">
      <c r="A7">
        <v>2344</v>
      </c>
      <c r="B7" t="s">
        <v>142</v>
      </c>
      <c r="C7">
        <v>6</v>
      </c>
      <c r="D7" t="s">
        <v>250</v>
      </c>
      <c r="E7">
        <v>8</v>
      </c>
    </row>
    <row r="8" spans="1:11">
      <c r="A8">
        <v>3444</v>
      </c>
      <c r="B8" t="s">
        <v>143</v>
      </c>
      <c r="C8">
        <v>7</v>
      </c>
      <c r="D8" t="s">
        <v>251</v>
      </c>
      <c r="E8">
        <v>9</v>
      </c>
    </row>
    <row r="9" spans="1:11">
      <c r="A9">
        <v>23412</v>
      </c>
      <c r="B9" t="s">
        <v>242</v>
      </c>
      <c r="C9">
        <v>8</v>
      </c>
      <c r="D9" t="s">
        <v>252</v>
      </c>
      <c r="E9">
        <v>2</v>
      </c>
    </row>
  </sheetData>
  <customSheetViews>
    <customSheetView guid="{C78E632C-B4DE-416E-9417-BD43377A5CED}">
      <selection activeCell="C19" sqref="C19"/>
      <pageMargins left="0.7" right="0.7" top="0.75" bottom="0.75" header="0.3" footer="0.3"/>
    </customSheetView>
    <customSheetView guid="{9C3B3B08-E836-4187-9F54-85567FC2169E}">
      <selection activeCell="C19" sqref="C19"/>
      <pageMargins left="0.7" right="0.7" top="0.75" bottom="0.75" header="0.3" footer="0.3"/>
    </customSheetView>
    <customSheetView guid="{BD3EB043-29D0-4252-8BB4-3D6D39776A99}">
      <selection activeCell="C19" sqref="C19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1"/>
  <sheetViews>
    <sheetView workbookViewId="0">
      <selection activeCell="H23" sqref="H23"/>
    </sheetView>
  </sheetViews>
  <sheetFormatPr defaultRowHeight="14.5"/>
  <sheetData>
    <row r="1" spans="1:17" ht="18.5">
      <c r="A1" s="101" t="s">
        <v>564</v>
      </c>
      <c r="B1" s="101" t="s">
        <v>565</v>
      </c>
      <c r="D1" s="101" t="s">
        <v>564</v>
      </c>
      <c r="E1" s="101" t="s">
        <v>565</v>
      </c>
      <c r="I1" s="101" t="s">
        <v>564</v>
      </c>
      <c r="J1">
        <v>1</v>
      </c>
      <c r="K1">
        <v>2</v>
      </c>
      <c r="L1">
        <v>3</v>
      </c>
      <c r="M1">
        <v>4</v>
      </c>
      <c r="N1">
        <v>5</v>
      </c>
      <c r="P1" s="101" t="s">
        <v>564</v>
      </c>
      <c r="Q1" s="101" t="s">
        <v>565</v>
      </c>
    </row>
    <row r="2" spans="1:17" ht="18.5">
      <c r="A2">
        <v>1</v>
      </c>
      <c r="B2">
        <v>10</v>
      </c>
      <c r="D2">
        <v>1.5</v>
      </c>
      <c r="E2">
        <f>LOOKUP(D2,A2:B6)</f>
        <v>10</v>
      </c>
      <c r="I2" s="101" t="s">
        <v>565</v>
      </c>
      <c r="J2">
        <v>10</v>
      </c>
      <c r="K2">
        <v>20</v>
      </c>
      <c r="L2">
        <v>30</v>
      </c>
      <c r="M2">
        <v>40</v>
      </c>
      <c r="N2">
        <v>50</v>
      </c>
      <c r="P2">
        <v>2</v>
      </c>
      <c r="Q2">
        <f>LOOKUP(P2,J1:N2)</f>
        <v>20</v>
      </c>
    </row>
    <row r="3" spans="1:17">
      <c r="A3">
        <v>2</v>
      </c>
      <c r="B3">
        <v>20</v>
      </c>
    </row>
    <row r="4" spans="1:17">
      <c r="A4">
        <v>3</v>
      </c>
      <c r="B4">
        <v>30</v>
      </c>
    </row>
    <row r="5" spans="1:17">
      <c r="A5">
        <v>4</v>
      </c>
      <c r="B5">
        <v>40</v>
      </c>
    </row>
    <row r="6" spans="1:17">
      <c r="A6">
        <v>5</v>
      </c>
      <c r="B6">
        <v>50</v>
      </c>
    </row>
    <row r="14" spans="1:17" ht="18.5">
      <c r="A14" s="101" t="s">
        <v>564</v>
      </c>
      <c r="B14" s="101" t="s">
        <v>565</v>
      </c>
      <c r="C14" s="101" t="s">
        <v>566</v>
      </c>
      <c r="D14" s="101" t="s">
        <v>567</v>
      </c>
      <c r="F14" s="101" t="s">
        <v>564</v>
      </c>
      <c r="G14" s="101" t="s">
        <v>567</v>
      </c>
      <c r="I14" s="101" t="s">
        <v>564</v>
      </c>
      <c r="J14" s="101" t="s">
        <v>566</v>
      </c>
    </row>
    <row r="15" spans="1:17">
      <c r="A15">
        <v>1</v>
      </c>
      <c r="B15">
        <v>10</v>
      </c>
      <c r="C15" t="s">
        <v>137</v>
      </c>
      <c r="D15" t="s">
        <v>568</v>
      </c>
      <c r="F15">
        <v>2</v>
      </c>
      <c r="G15" t="str">
        <f>LOOKUP(F15,A15:D19)</f>
        <v>N</v>
      </c>
      <c r="I15">
        <v>3</v>
      </c>
      <c r="J15" t="str">
        <f>LOOKUP(I15,A15:C19)</f>
        <v>C</v>
      </c>
    </row>
    <row r="16" spans="1:17">
      <c r="A16">
        <v>2</v>
      </c>
      <c r="B16">
        <v>20</v>
      </c>
      <c r="C16" t="s">
        <v>138</v>
      </c>
      <c r="D16" t="s">
        <v>569</v>
      </c>
    </row>
    <row r="17" spans="1:9">
      <c r="A17">
        <v>3</v>
      </c>
      <c r="B17">
        <v>30</v>
      </c>
      <c r="C17" t="s">
        <v>139</v>
      </c>
      <c r="D17" t="s">
        <v>138</v>
      </c>
    </row>
    <row r="18" spans="1:9">
      <c r="A18">
        <v>4</v>
      </c>
      <c r="B18">
        <v>40</v>
      </c>
      <c r="C18" t="s">
        <v>140</v>
      </c>
      <c r="D18" t="s">
        <v>570</v>
      </c>
    </row>
    <row r="19" spans="1:9">
      <c r="A19">
        <v>5</v>
      </c>
      <c r="B19">
        <v>50</v>
      </c>
      <c r="C19" t="s">
        <v>141</v>
      </c>
      <c r="D19" t="s">
        <v>139</v>
      </c>
    </row>
    <row r="20" spans="1:9" ht="18.5">
      <c r="F20" s="101" t="s">
        <v>564</v>
      </c>
      <c r="G20" s="101" t="s">
        <v>565</v>
      </c>
      <c r="H20" s="101" t="s">
        <v>566</v>
      </c>
      <c r="I20" s="101" t="s">
        <v>567</v>
      </c>
    </row>
    <row r="21" spans="1:9">
      <c r="F21">
        <v>3</v>
      </c>
      <c r="G21">
        <f>LOOKUP($F$21,$A$15:$A$19,B15:B19)</f>
        <v>30</v>
      </c>
      <c r="H21" t="str">
        <f t="shared" ref="H21:I21" si="0">LOOKUP($F$21,$A$15:$A$19,C15:C19)</f>
        <v>C</v>
      </c>
      <c r="I21" t="str">
        <f t="shared" si="0"/>
        <v>B</v>
      </c>
    </row>
  </sheetData>
  <pageMargins left="0.7" right="0.7" top="0.75" bottom="0.75" header="0.3" footer="0.3"/>
  <pageSetup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4"/>
  <sheetViews>
    <sheetView topLeftCell="B1" workbookViewId="0">
      <selection activeCell="K5" sqref="K5"/>
    </sheetView>
  </sheetViews>
  <sheetFormatPr defaultRowHeight="14.5"/>
  <cols>
    <col min="1" max="1" width="44.453125" bestFit="1" customWidth="1"/>
    <col min="5" max="5" width="8.7265625" style="53"/>
    <col min="12" max="12" width="10.08984375" bestFit="1" customWidth="1"/>
  </cols>
  <sheetData>
    <row r="1" spans="1:16">
      <c r="A1" t="s">
        <v>588</v>
      </c>
    </row>
    <row r="2" spans="1:16">
      <c r="B2" t="s">
        <v>589</v>
      </c>
    </row>
    <row r="3" spans="1:16" ht="18.5">
      <c r="A3" t="s">
        <v>277</v>
      </c>
      <c r="E3" s="54" t="s">
        <v>108</v>
      </c>
      <c r="F3" s="40" t="s">
        <v>174</v>
      </c>
      <c r="G3" s="40" t="s">
        <v>175</v>
      </c>
      <c r="H3" s="40" t="s">
        <v>109</v>
      </c>
      <c r="I3" s="40" t="s">
        <v>176</v>
      </c>
      <c r="J3" s="27" t="s">
        <v>187</v>
      </c>
      <c r="L3" s="49" t="s">
        <v>253</v>
      </c>
      <c r="M3" s="49" t="s">
        <v>108</v>
      </c>
      <c r="N3" s="49" t="s">
        <v>241</v>
      </c>
      <c r="O3" s="49" t="s">
        <v>243</v>
      </c>
      <c r="P3" s="49" t="s">
        <v>244</v>
      </c>
    </row>
    <row r="4" spans="1:16" ht="18.5">
      <c r="A4" t="s">
        <v>278</v>
      </c>
      <c r="E4" s="55" t="s">
        <v>137</v>
      </c>
      <c r="F4" s="39">
        <v>23</v>
      </c>
      <c r="G4" s="39" t="s">
        <v>181</v>
      </c>
      <c r="H4" s="39">
        <v>54</v>
      </c>
      <c r="I4" s="39">
        <f>H4+21</f>
        <v>75</v>
      </c>
      <c r="L4" s="50">
        <v>23</v>
      </c>
      <c r="M4" s="50" t="s">
        <v>137</v>
      </c>
      <c r="N4" s="50">
        <v>1</v>
      </c>
      <c r="O4" s="50" t="s">
        <v>245</v>
      </c>
      <c r="P4" s="50">
        <v>3</v>
      </c>
    </row>
    <row r="5" spans="1:16" ht="18.5">
      <c r="A5" t="s">
        <v>279</v>
      </c>
      <c r="E5" s="55" t="s">
        <v>138</v>
      </c>
      <c r="F5" s="39">
        <v>24</v>
      </c>
      <c r="G5" s="39" t="s">
        <v>141</v>
      </c>
      <c r="H5" s="39">
        <v>65</v>
      </c>
      <c r="I5" s="39">
        <f t="shared" ref="I5:I14" si="0">H5+21</f>
        <v>86</v>
      </c>
      <c r="L5" s="50">
        <v>43</v>
      </c>
      <c r="M5" s="50" t="s">
        <v>255</v>
      </c>
      <c r="N5" s="50">
        <v>2</v>
      </c>
      <c r="O5" s="50" t="s">
        <v>246</v>
      </c>
      <c r="P5" s="50">
        <v>4</v>
      </c>
    </row>
    <row r="6" spans="1:16" ht="18.5">
      <c r="A6" t="s">
        <v>280</v>
      </c>
      <c r="E6" s="55" t="s">
        <v>139</v>
      </c>
      <c r="F6" s="39">
        <v>54</v>
      </c>
      <c r="G6" s="39" t="s">
        <v>178</v>
      </c>
      <c r="H6" s="39">
        <v>76</v>
      </c>
      <c r="I6" s="39">
        <f t="shared" si="0"/>
        <v>97</v>
      </c>
      <c r="L6" s="50">
        <v>123</v>
      </c>
      <c r="M6" s="50" t="s">
        <v>139</v>
      </c>
      <c r="N6" s="50">
        <v>3</v>
      </c>
      <c r="O6" s="50" t="s">
        <v>247</v>
      </c>
      <c r="P6" s="50">
        <v>5</v>
      </c>
    </row>
    <row r="7" spans="1:16" ht="18.5">
      <c r="A7" t="s">
        <v>281</v>
      </c>
      <c r="E7" s="55" t="s">
        <v>140</v>
      </c>
      <c r="F7" s="39">
        <v>65</v>
      </c>
      <c r="G7" s="39" t="s">
        <v>182</v>
      </c>
      <c r="H7" s="39">
        <v>45</v>
      </c>
      <c r="I7" s="39">
        <f t="shared" si="0"/>
        <v>66</v>
      </c>
      <c r="L7" s="50">
        <v>234</v>
      </c>
      <c r="M7" s="50" t="s">
        <v>140</v>
      </c>
      <c r="N7" s="50">
        <v>4</v>
      </c>
      <c r="O7" s="50" t="s">
        <v>248</v>
      </c>
      <c r="P7" s="50">
        <v>6</v>
      </c>
    </row>
    <row r="8" spans="1:16" ht="18.5">
      <c r="A8" t="s">
        <v>282</v>
      </c>
      <c r="E8" s="55" t="s">
        <v>141</v>
      </c>
      <c r="F8" s="39">
        <v>12</v>
      </c>
      <c r="G8" s="39" t="s">
        <v>183</v>
      </c>
      <c r="H8" s="39">
        <v>12</v>
      </c>
      <c r="I8" s="39">
        <f t="shared" si="0"/>
        <v>33</v>
      </c>
      <c r="L8" s="50">
        <v>2342</v>
      </c>
      <c r="M8" s="50" t="s">
        <v>141</v>
      </c>
      <c r="N8" s="50">
        <v>5</v>
      </c>
      <c r="O8" s="50" t="s">
        <v>249</v>
      </c>
      <c r="P8" s="50">
        <v>7</v>
      </c>
    </row>
    <row r="9" spans="1:16" ht="18.5">
      <c r="E9" s="55" t="s">
        <v>142</v>
      </c>
      <c r="F9" s="39">
        <v>34</v>
      </c>
      <c r="G9" s="39" t="s">
        <v>141</v>
      </c>
      <c r="H9" s="39">
        <v>68</v>
      </c>
      <c r="I9" s="39">
        <f t="shared" si="0"/>
        <v>89</v>
      </c>
      <c r="L9" s="50">
        <v>2344</v>
      </c>
      <c r="M9" s="50" t="s">
        <v>142</v>
      </c>
      <c r="N9" s="50">
        <v>6</v>
      </c>
      <c r="O9" s="50" t="s">
        <v>250</v>
      </c>
      <c r="P9" s="50">
        <v>8</v>
      </c>
    </row>
    <row r="10" spans="1:16" ht="18.5">
      <c r="E10" s="55" t="s">
        <v>143</v>
      </c>
      <c r="F10" s="39">
        <v>56</v>
      </c>
      <c r="G10" s="39" t="s">
        <v>184</v>
      </c>
      <c r="H10" s="39">
        <v>5</v>
      </c>
      <c r="I10" s="39">
        <f t="shared" si="0"/>
        <v>26</v>
      </c>
      <c r="L10" s="50">
        <v>3444</v>
      </c>
      <c r="M10" s="50" t="s">
        <v>143</v>
      </c>
      <c r="N10" s="50">
        <v>7</v>
      </c>
      <c r="O10" s="50" t="s">
        <v>251</v>
      </c>
      <c r="P10" s="50">
        <v>9</v>
      </c>
    </row>
    <row r="11" spans="1:16" ht="18.5">
      <c r="E11" s="55" t="s">
        <v>177</v>
      </c>
      <c r="F11" s="39">
        <v>78</v>
      </c>
      <c r="G11" s="39" t="s">
        <v>141</v>
      </c>
      <c r="H11" s="39">
        <v>23</v>
      </c>
      <c r="I11" s="39">
        <f t="shared" si="0"/>
        <v>44</v>
      </c>
      <c r="L11" s="50">
        <v>23412</v>
      </c>
      <c r="M11" s="50" t="s">
        <v>242</v>
      </c>
      <c r="N11" s="50">
        <v>8</v>
      </c>
      <c r="O11" s="50" t="s">
        <v>252</v>
      </c>
      <c r="P11" s="50">
        <v>2</v>
      </c>
    </row>
    <row r="12" spans="1:16" ht="18.5">
      <c r="E12" s="55" t="s">
        <v>178</v>
      </c>
      <c r="F12" s="39">
        <v>43</v>
      </c>
      <c r="G12" s="39" t="s">
        <v>141</v>
      </c>
      <c r="H12" s="39">
        <v>12</v>
      </c>
      <c r="I12" s="39">
        <f t="shared" si="0"/>
        <v>33</v>
      </c>
    </row>
    <row r="13" spans="1:16" ht="18.5">
      <c r="E13" s="55" t="s">
        <v>179</v>
      </c>
      <c r="F13" s="39">
        <v>21</v>
      </c>
      <c r="G13" s="39" t="s">
        <v>185</v>
      </c>
      <c r="H13" s="39">
        <v>34</v>
      </c>
      <c r="I13" s="39">
        <f t="shared" si="0"/>
        <v>55</v>
      </c>
    </row>
    <row r="14" spans="1:16" ht="18.5">
      <c r="E14" s="55" t="s">
        <v>180</v>
      </c>
      <c r="F14" s="39">
        <v>29</v>
      </c>
      <c r="G14" s="39" t="s">
        <v>186</v>
      </c>
      <c r="H14" s="39">
        <v>21</v>
      </c>
      <c r="I14" s="39">
        <f t="shared" si="0"/>
        <v>42</v>
      </c>
    </row>
  </sheetData>
  <customSheetViews>
    <customSheetView guid="{C78E632C-B4DE-416E-9417-BD43377A5CED}">
      <selection activeCell="J13" sqref="J13"/>
      <pageMargins left="0.7" right="0.7" top="0.75" bottom="0.75" header="0.3" footer="0.3"/>
    </customSheetView>
    <customSheetView guid="{9C3B3B08-E836-4187-9F54-85567FC2169E}">
      <selection activeCell="J13" sqref="J13"/>
      <pageMargins left="0.7" right="0.7" top="0.75" bottom="0.75" header="0.3" footer="0.3"/>
    </customSheetView>
    <customSheetView guid="{BD3EB043-29D0-4252-8BB4-3D6D39776A99}">
      <selection activeCell="J13" sqref="J13"/>
      <pageMargins left="0.7" right="0.7" top="0.75" bottom="0.75" header="0.3" footer="0.3"/>
    </customSheetView>
  </customSheetViews>
  <conditionalFormatting sqref="E3:J14">
    <cfRule type="expression" dxfId="0" priority="1">
      <formula>E3=$K$12</formula>
    </cfRule>
  </conditionalFormatting>
  <pageMargins left="0.7" right="0.7" top="0.75" bottom="0.75" header="0.3" footer="0.3"/>
  <pageSetup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3:F27"/>
  <sheetViews>
    <sheetView topLeftCell="A29" workbookViewId="0">
      <selection activeCell="F20" sqref="F20"/>
    </sheetView>
  </sheetViews>
  <sheetFormatPr defaultRowHeight="14.5"/>
  <cols>
    <col min="1" max="1" width="23.08984375" bestFit="1" customWidth="1"/>
  </cols>
  <sheetData>
    <row r="3" spans="1:6">
      <c r="A3" s="2" t="s">
        <v>267</v>
      </c>
      <c r="C3" s="2" t="s">
        <v>320</v>
      </c>
      <c r="E3" s="2" t="s">
        <v>108</v>
      </c>
      <c r="F3" s="2" t="s">
        <v>241</v>
      </c>
    </row>
    <row r="4" spans="1:6">
      <c r="A4" t="s">
        <v>268</v>
      </c>
      <c r="C4">
        <f>SUM(F4:F12)</f>
        <v>1402</v>
      </c>
      <c r="E4" t="s">
        <v>137</v>
      </c>
      <c r="F4">
        <v>23</v>
      </c>
    </row>
    <row r="5" spans="1:6">
      <c r="A5" t="s">
        <v>269</v>
      </c>
      <c r="C5">
        <f>MIN(F4:F27)</f>
        <v>3</v>
      </c>
      <c r="F5">
        <v>32</v>
      </c>
    </row>
    <row r="6" spans="1:6">
      <c r="A6" t="s">
        <v>270</v>
      </c>
      <c r="C6">
        <f>MAX(F4:F27)</f>
        <v>535</v>
      </c>
      <c r="E6" t="s">
        <v>139</v>
      </c>
    </row>
    <row r="7" spans="1:6">
      <c r="A7" t="s">
        <v>271</v>
      </c>
      <c r="C7">
        <f>AVERAGE(F4:F12)</f>
        <v>200.28571428571428</v>
      </c>
      <c r="E7" t="s">
        <v>140</v>
      </c>
      <c r="F7">
        <v>342</v>
      </c>
    </row>
    <row r="8" spans="1:6">
      <c r="A8" t="s">
        <v>272</v>
      </c>
      <c r="C8">
        <f>COUNT(E4:E12)</f>
        <v>0</v>
      </c>
      <c r="F8">
        <v>35</v>
      </c>
    </row>
    <row r="9" spans="1:6">
      <c r="A9" t="s">
        <v>273</v>
      </c>
      <c r="C9">
        <f>COUNTA(E4:E12)</f>
        <v>7</v>
      </c>
      <c r="D9">
        <f>COUNTA(F4:F12)</f>
        <v>7</v>
      </c>
      <c r="E9" t="s">
        <v>142</v>
      </c>
      <c r="F9">
        <v>432</v>
      </c>
    </row>
    <row r="10" spans="1:6">
      <c r="A10" t="s">
        <v>274</v>
      </c>
      <c r="C10">
        <f>COUNTBLANK(F4:F12)</f>
        <v>2</v>
      </c>
      <c r="E10" t="s">
        <v>143</v>
      </c>
    </row>
    <row r="11" spans="1:6">
      <c r="A11" t="s">
        <v>275</v>
      </c>
      <c r="C11">
        <f>SMALL(F4:F27,5)</f>
        <v>4</v>
      </c>
      <c r="E11" t="s">
        <v>177</v>
      </c>
      <c r="F11">
        <v>4</v>
      </c>
    </row>
    <row r="12" spans="1:6">
      <c r="A12" t="s">
        <v>276</v>
      </c>
      <c r="C12">
        <f>LARGE(F4:F27,3)</f>
        <v>453</v>
      </c>
      <c r="E12" t="s">
        <v>48</v>
      </c>
      <c r="F12">
        <v>534</v>
      </c>
    </row>
    <row r="13" spans="1:6">
      <c r="E13" t="s">
        <v>321</v>
      </c>
      <c r="F13">
        <v>43</v>
      </c>
    </row>
    <row r="14" spans="1:6">
      <c r="E14" t="s">
        <v>263</v>
      </c>
      <c r="F14">
        <v>5</v>
      </c>
    </row>
    <row r="15" spans="1:6">
      <c r="E15" t="s">
        <v>263</v>
      </c>
      <c r="F15">
        <v>435</v>
      </c>
    </row>
    <row r="16" spans="1:6">
      <c r="E16" t="s">
        <v>264</v>
      </c>
      <c r="F16">
        <v>3</v>
      </c>
    </row>
    <row r="17" spans="5:6">
      <c r="F17">
        <v>5</v>
      </c>
    </row>
    <row r="18" spans="5:6">
      <c r="E18" t="s">
        <v>322</v>
      </c>
      <c r="F18">
        <v>445</v>
      </c>
    </row>
    <row r="19" spans="5:6">
      <c r="E19" t="s">
        <v>264</v>
      </c>
      <c r="F19">
        <v>345</v>
      </c>
    </row>
    <row r="20" spans="5:6">
      <c r="E20" t="s">
        <v>323</v>
      </c>
      <c r="F20">
        <v>3</v>
      </c>
    </row>
    <row r="21" spans="5:6">
      <c r="E21" t="s">
        <v>324</v>
      </c>
    </row>
    <row r="22" spans="5:6">
      <c r="E22" t="s">
        <v>325</v>
      </c>
      <c r="F22">
        <v>34</v>
      </c>
    </row>
    <row r="23" spans="5:6">
      <c r="E23" t="s">
        <v>264</v>
      </c>
      <c r="F23">
        <v>3</v>
      </c>
    </row>
    <row r="24" spans="5:6">
      <c r="E24" t="s">
        <v>323</v>
      </c>
      <c r="F24">
        <v>453</v>
      </c>
    </row>
    <row r="25" spans="5:6">
      <c r="E25" t="s">
        <v>264</v>
      </c>
      <c r="F25">
        <v>535</v>
      </c>
    </row>
    <row r="26" spans="5:6">
      <c r="E26" t="s">
        <v>263</v>
      </c>
      <c r="F26">
        <v>35</v>
      </c>
    </row>
    <row r="27" spans="5:6">
      <c r="E27" t="s">
        <v>322</v>
      </c>
      <c r="F27">
        <v>3</v>
      </c>
    </row>
  </sheetData>
  <customSheetViews>
    <customSheetView guid="{C78E632C-B4DE-416E-9417-BD43377A5CED}">
      <selection activeCell="D17" sqref="D17"/>
      <pageMargins left="0.7" right="0.7" top="0.75" bottom="0.75" header="0.3" footer="0.3"/>
      <pageSetup orientation="portrait" r:id="rId1"/>
    </customSheetView>
    <customSheetView guid="{9C3B3B08-E836-4187-9F54-85567FC2169E}">
      <selection activeCell="D17" sqref="D17"/>
      <pageMargins left="0.7" right="0.7" top="0.75" bottom="0.75" header="0.3" footer="0.3"/>
      <pageSetup orientation="portrait" r:id="rId2"/>
    </customSheetView>
    <customSheetView guid="{BD3EB043-29D0-4252-8BB4-3D6D39776A99}">
      <selection activeCell="D17" sqref="D17"/>
      <pageMargins left="0.7" right="0.7" top="0.75" bottom="0.75" header="0.3" footer="0.3"/>
      <pageSetup orientation="portrait" r:id="rId3"/>
    </customSheetView>
  </customSheetViews>
  <pageMargins left="0.7" right="0.7" top="0.75" bottom="0.75" header="0.3" footer="0.3"/>
  <pageSetup orientation="portrait" r:id="rId4"/>
  <ignoredErrors>
    <ignoredError sqref="D9" formulaRange="1"/>
  </ignoredErrors>
  <legacyDrawing r:id="rId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workbookViewId="0">
      <selection activeCell="B9" sqref="B9"/>
    </sheetView>
  </sheetViews>
  <sheetFormatPr defaultRowHeight="14.5"/>
  <sheetData>
    <row r="1" spans="1:8">
      <c r="A1" s="27" t="s">
        <v>283</v>
      </c>
    </row>
    <row r="2" spans="1:8">
      <c r="A2" t="s">
        <v>284</v>
      </c>
    </row>
    <row r="3" spans="1:8">
      <c r="A3" t="s">
        <v>285</v>
      </c>
    </row>
    <row r="4" spans="1:8">
      <c r="A4" t="s">
        <v>286</v>
      </c>
      <c r="H4" s="58" t="s">
        <v>326</v>
      </c>
    </row>
    <row r="5" spans="1:8">
      <c r="A5" t="s">
        <v>287</v>
      </c>
    </row>
    <row r="6" spans="1:8">
      <c r="A6" s="56" t="s">
        <v>288</v>
      </c>
      <c r="C6">
        <f>PERMUT(5,3)</f>
        <v>60</v>
      </c>
      <c r="D6">
        <f>PERMUT(6,6)</f>
        <v>720</v>
      </c>
      <c r="E6">
        <f>_xlfn.PERMUTATIONA(6,6)</f>
        <v>46656</v>
      </c>
      <c r="F6">
        <f>PERMUT(6,6)</f>
        <v>720</v>
      </c>
    </row>
    <row r="7" spans="1:8">
      <c r="A7" s="56" t="s">
        <v>289</v>
      </c>
      <c r="C7">
        <f>COMBIN(10,4)</f>
        <v>209.99999999999997</v>
      </c>
      <c r="D7" t="e">
        <f>com</f>
        <v>#NAME?</v>
      </c>
    </row>
    <row r="8" spans="1:8">
      <c r="A8" s="56" t="s">
        <v>327</v>
      </c>
      <c r="B8" t="s">
        <v>329</v>
      </c>
    </row>
    <row r="9" spans="1:8">
      <c r="A9" s="56" t="s">
        <v>328</v>
      </c>
      <c r="B9" t="s">
        <v>329</v>
      </c>
    </row>
  </sheetData>
  <customSheetViews>
    <customSheetView guid="{C78E632C-B4DE-416E-9417-BD43377A5CED}">
      <selection activeCell="A9" sqref="A6:A9"/>
      <pageMargins left="0.7" right="0.7" top="0.75" bottom="0.75" header="0.3" footer="0.3"/>
      <pageSetup orientation="portrait" r:id="rId1"/>
    </customSheetView>
    <customSheetView guid="{9C3B3B08-E836-4187-9F54-85567FC2169E}">
      <selection activeCell="A9" sqref="A6:A9"/>
      <pageMargins left="0.7" right="0.7" top="0.75" bottom="0.75" header="0.3" footer="0.3"/>
      <pageSetup orientation="portrait" r:id="rId2"/>
    </customSheetView>
    <customSheetView guid="{BD3EB043-29D0-4252-8BB4-3D6D39776A99}">
      <selection activeCell="A9" sqref="A6:A9"/>
      <pageMargins left="0.7" right="0.7" top="0.75" bottom="0.75" header="0.3" footer="0.3"/>
      <pageSetup orientation="portrait" r:id="rId3"/>
    </customSheetView>
  </customSheetViews>
  <pageMargins left="0.7" right="0.7" top="0.75" bottom="0.75" header="0.3" footer="0.3"/>
  <pageSetup orientation="portrait" r:id="rId4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14"/>
  <sheetViews>
    <sheetView zoomScale="130" zoomScaleNormal="130" workbookViewId="0">
      <selection activeCell="A13" sqref="A13"/>
    </sheetView>
  </sheetViews>
  <sheetFormatPr defaultRowHeight="14.5"/>
  <cols>
    <col min="12" max="12" width="10.26953125" bestFit="1" customWidth="1"/>
    <col min="13" max="13" width="11.453125" bestFit="1" customWidth="1"/>
    <col min="14" max="14" width="13.36328125" bestFit="1" customWidth="1"/>
  </cols>
  <sheetData>
    <row r="1" spans="1:14">
      <c r="J1" t="s">
        <v>339</v>
      </c>
    </row>
    <row r="2" spans="1:14">
      <c r="A2" s="61" t="s">
        <v>290</v>
      </c>
      <c r="B2" s="61"/>
    </row>
    <row r="3" spans="1:14">
      <c r="A3" s="60" t="s">
        <v>291</v>
      </c>
    </row>
    <row r="4" spans="1:14">
      <c r="A4" s="60" t="s">
        <v>292</v>
      </c>
      <c r="L4" s="59" t="s">
        <v>334</v>
      </c>
      <c r="M4" s="59" t="s">
        <v>335</v>
      </c>
      <c r="N4" s="59" t="s">
        <v>336</v>
      </c>
    </row>
    <row r="5" spans="1:14">
      <c r="A5" s="60" t="s">
        <v>293</v>
      </c>
      <c r="C5" s="2" t="s">
        <v>108</v>
      </c>
      <c r="D5" s="2" t="s">
        <v>297</v>
      </c>
      <c r="E5" s="2" t="s">
        <v>298</v>
      </c>
      <c r="L5" s="62" t="s">
        <v>331</v>
      </c>
      <c r="M5" s="62" t="s">
        <v>332</v>
      </c>
      <c r="N5" s="62" t="s">
        <v>333</v>
      </c>
    </row>
    <row r="6" spans="1:14">
      <c r="A6" s="60"/>
      <c r="C6" t="s">
        <v>137</v>
      </c>
      <c r="D6" t="s">
        <v>299</v>
      </c>
      <c r="E6">
        <v>10</v>
      </c>
      <c r="G6" t="s">
        <v>337</v>
      </c>
      <c r="L6" s="59"/>
      <c r="M6" s="59">
        <f>COUNTIF(E6:E16,"&lt;20")</f>
        <v>1</v>
      </c>
      <c r="N6" s="59">
        <f>AVERAGEIF(E6:E14,"&lt;20",E6:E14)</f>
        <v>10</v>
      </c>
    </row>
    <row r="7" spans="1:14">
      <c r="A7" s="60" t="s">
        <v>294</v>
      </c>
      <c r="C7" t="s">
        <v>138</v>
      </c>
      <c r="D7" t="s">
        <v>300</v>
      </c>
      <c r="E7">
        <v>20</v>
      </c>
      <c r="G7" t="s">
        <v>330</v>
      </c>
      <c r="L7" s="59">
        <f>SUMIF(C6:C14,"A",E6:E14)</f>
        <v>36</v>
      </c>
      <c r="M7" s="59"/>
      <c r="N7" s="59"/>
    </row>
    <row r="8" spans="1:14">
      <c r="A8" s="60" t="s">
        <v>295</v>
      </c>
      <c r="C8" t="s">
        <v>139</v>
      </c>
      <c r="D8" t="s">
        <v>301</v>
      </c>
      <c r="E8">
        <v>21</v>
      </c>
    </row>
    <row r="9" spans="1:14">
      <c r="A9" s="60" t="s">
        <v>296</v>
      </c>
      <c r="C9" t="s">
        <v>139</v>
      </c>
      <c r="D9" t="s">
        <v>302</v>
      </c>
      <c r="E9">
        <v>22</v>
      </c>
      <c r="G9" t="s">
        <v>338</v>
      </c>
      <c r="L9" s="42">
        <f>SUMIFS(E6:E14,E6:E14,"&lt;23",C6:C14,"C")</f>
        <v>43</v>
      </c>
      <c r="M9" s="42"/>
      <c r="N9" s="42"/>
    </row>
    <row r="10" spans="1:14">
      <c r="C10" t="s">
        <v>141</v>
      </c>
      <c r="D10" t="s">
        <v>303</v>
      </c>
      <c r="E10">
        <v>23</v>
      </c>
      <c r="L10" s="42"/>
      <c r="M10" s="42"/>
      <c r="N10" s="42"/>
    </row>
    <row r="11" spans="1:14">
      <c r="C11" t="s">
        <v>139</v>
      </c>
      <c r="D11" t="s">
        <v>304</v>
      </c>
      <c r="E11">
        <v>24</v>
      </c>
    </row>
    <row r="12" spans="1:14">
      <c r="C12" t="s">
        <v>143</v>
      </c>
      <c r="D12" t="s">
        <v>305</v>
      </c>
      <c r="E12">
        <v>25</v>
      </c>
    </row>
    <row r="13" spans="1:14">
      <c r="C13" t="s">
        <v>137</v>
      </c>
      <c r="D13" t="s">
        <v>299</v>
      </c>
      <c r="E13">
        <v>26</v>
      </c>
    </row>
    <row r="14" spans="1:14">
      <c r="C14" t="s">
        <v>247</v>
      </c>
      <c r="D14" t="s">
        <v>299</v>
      </c>
      <c r="E14">
        <v>27</v>
      </c>
    </row>
  </sheetData>
  <customSheetViews>
    <customSheetView guid="{C78E632C-B4DE-416E-9417-BD43377A5CED}" scale="130">
      <selection activeCell="A13" sqref="A13"/>
      <pageMargins left="0.7" right="0.7" top="0.75" bottom="0.75" header="0.3" footer="0.3"/>
      <pageSetup orientation="portrait" r:id="rId1"/>
    </customSheetView>
    <customSheetView guid="{9C3B3B08-E836-4187-9F54-85567FC2169E}" scale="130">
      <selection activeCell="A13" sqref="A13"/>
      <pageMargins left="0.7" right="0.7" top="0.75" bottom="0.75" header="0.3" footer="0.3"/>
      <pageSetup orientation="portrait" r:id="rId2"/>
    </customSheetView>
    <customSheetView guid="{BD3EB043-29D0-4252-8BB4-3D6D39776A99}" scale="130">
      <selection activeCell="A13" sqref="A13"/>
      <pageMargins left="0.7" right="0.7" top="0.75" bottom="0.75" header="0.3" footer="0.3"/>
      <pageSetup orientation="portrait" r:id="rId3"/>
    </customSheetView>
  </customSheetViews>
  <pageMargins left="0.7" right="0.7" top="0.75" bottom="0.75" header="0.3" footer="0.3"/>
  <pageSetup orientation="portrait" r:id="rId4"/>
  <legacyDrawing r:id="rId5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M19"/>
  <sheetViews>
    <sheetView topLeftCell="A3" zoomScale="130" zoomScaleNormal="130" workbookViewId="0">
      <selection activeCell="I20" sqref="I20"/>
    </sheetView>
  </sheetViews>
  <sheetFormatPr defaultRowHeight="14.5"/>
  <cols>
    <col min="3" max="3" width="9" bestFit="1" customWidth="1"/>
    <col min="4" max="4" width="7.90625" customWidth="1"/>
    <col min="6" max="6" width="9.54296875" bestFit="1" customWidth="1"/>
    <col min="7" max="7" width="12.90625" bestFit="1" customWidth="1"/>
    <col min="8" max="8" width="7.1796875" customWidth="1"/>
    <col min="9" max="9" width="7.6328125" customWidth="1"/>
  </cols>
  <sheetData>
    <row r="1" spans="1:13">
      <c r="A1" t="s">
        <v>306</v>
      </c>
    </row>
    <row r="2" spans="1:13">
      <c r="A2" t="s">
        <v>307</v>
      </c>
    </row>
    <row r="3" spans="1:13">
      <c r="A3" t="s">
        <v>347</v>
      </c>
    </row>
    <row r="4" spans="1:13">
      <c r="A4" t="s">
        <v>348</v>
      </c>
    </row>
    <row r="5" spans="1:13">
      <c r="A5" t="s">
        <v>346</v>
      </c>
    </row>
    <row r="6" spans="1:13">
      <c r="A6" t="s">
        <v>308</v>
      </c>
    </row>
    <row r="7" spans="1:13">
      <c r="A7" t="s">
        <v>309</v>
      </c>
      <c r="C7" s="2" t="s">
        <v>340</v>
      </c>
      <c r="D7" s="2" t="s">
        <v>261</v>
      </c>
      <c r="E7" s="2" t="s">
        <v>341</v>
      </c>
      <c r="F7" s="2" t="s">
        <v>347</v>
      </c>
      <c r="G7" s="2" t="s">
        <v>348</v>
      </c>
      <c r="H7" s="2" t="s">
        <v>346</v>
      </c>
      <c r="I7" s="2" t="s">
        <v>345</v>
      </c>
      <c r="J7" s="2" t="s">
        <v>308</v>
      </c>
      <c r="K7" s="2" t="s">
        <v>309</v>
      </c>
      <c r="L7" s="2" t="s">
        <v>310</v>
      </c>
      <c r="M7" s="2" t="s">
        <v>311</v>
      </c>
    </row>
    <row r="8" spans="1:13">
      <c r="A8" t="s">
        <v>310</v>
      </c>
      <c r="B8" t="s">
        <v>141</v>
      </c>
      <c r="C8" t="s">
        <v>262</v>
      </c>
      <c r="D8">
        <v>2</v>
      </c>
      <c r="E8">
        <v>-234.42343</v>
      </c>
      <c r="F8">
        <f>ROUNDUP(E8,0)</f>
        <v>-235</v>
      </c>
      <c r="G8">
        <f>ROUNDDOWN(E8,0)</f>
        <v>-234</v>
      </c>
      <c r="H8">
        <f>ROUND(E8,0)</f>
        <v>-234</v>
      </c>
      <c r="I8" t="e">
        <f t="shared" ref="I8:I14" si="0">MROUND(E8,5)</f>
        <v>#NUM!</v>
      </c>
      <c r="J8">
        <f>FLOOR(E8,5)</f>
        <v>-235</v>
      </c>
      <c r="K8">
        <f>_xlfn.CEILING.MATH(E8,5,876875)</f>
        <v>-235</v>
      </c>
      <c r="L8">
        <f>MOD(E8,2)</f>
        <v>1.5765700000000038</v>
      </c>
      <c r="M8">
        <f>QUOTIENT(E8,2)</f>
        <v>-117</v>
      </c>
    </row>
    <row r="9" spans="1:13">
      <c r="A9" t="s">
        <v>311</v>
      </c>
      <c r="B9" t="s">
        <v>141</v>
      </c>
      <c r="C9" t="s">
        <v>342</v>
      </c>
      <c r="D9">
        <v>3</v>
      </c>
      <c r="E9">
        <v>2.58</v>
      </c>
      <c r="F9">
        <f>ROUNDUP(E9,0)</f>
        <v>3</v>
      </c>
      <c r="G9">
        <f t="shared" ref="G9:G14" si="1">ROUNDDOWN(E9,0)</f>
        <v>2</v>
      </c>
      <c r="H9">
        <f t="shared" ref="H9:H14" si="2">ROUND(E9,0)</f>
        <v>3</v>
      </c>
      <c r="I9">
        <f t="shared" si="0"/>
        <v>5</v>
      </c>
      <c r="J9">
        <f>FLOOR(E9,5)</f>
        <v>0</v>
      </c>
      <c r="K9">
        <f>_xlfn.CEILING.MATH(E9,5,8)</f>
        <v>5</v>
      </c>
      <c r="L9">
        <f t="shared" ref="L9:L14" si="3">MOD(E9,2)</f>
        <v>0.58000000000000007</v>
      </c>
      <c r="M9">
        <f t="shared" ref="M9:M14" si="4">QUOTIENT(E9,2)</f>
        <v>1</v>
      </c>
    </row>
    <row r="10" spans="1:13">
      <c r="B10" t="s">
        <v>141</v>
      </c>
      <c r="C10" t="s">
        <v>343</v>
      </c>
      <c r="D10">
        <v>2</v>
      </c>
      <c r="E10">
        <v>-32.979999999999997</v>
      </c>
      <c r="F10">
        <f t="shared" ref="F10:F14" si="5">ROUNDUP(E10,0)</f>
        <v>-33</v>
      </c>
      <c r="G10">
        <f t="shared" si="1"/>
        <v>-32</v>
      </c>
      <c r="H10">
        <f t="shared" si="2"/>
        <v>-33</v>
      </c>
      <c r="I10" t="e">
        <f t="shared" si="0"/>
        <v>#NUM!</v>
      </c>
      <c r="J10">
        <f t="shared" ref="J10:J13" si="6">FLOOR(E10,5)</f>
        <v>-35</v>
      </c>
      <c r="K10">
        <f>CEILING(E10,5)</f>
        <v>-30</v>
      </c>
      <c r="L10">
        <f t="shared" si="3"/>
        <v>1.0200000000000031</v>
      </c>
      <c r="M10">
        <f t="shared" si="4"/>
        <v>-16</v>
      </c>
    </row>
    <row r="11" spans="1:13">
      <c r="B11" t="s">
        <v>141</v>
      </c>
      <c r="C11" t="s">
        <v>263</v>
      </c>
      <c r="D11">
        <v>4</v>
      </c>
      <c r="E11">
        <v>-23.43</v>
      </c>
      <c r="F11">
        <f t="shared" si="5"/>
        <v>-24</v>
      </c>
      <c r="G11">
        <f t="shared" si="1"/>
        <v>-23</v>
      </c>
      <c r="H11">
        <f t="shared" si="2"/>
        <v>-23</v>
      </c>
      <c r="I11" t="e">
        <f t="shared" si="0"/>
        <v>#NUM!</v>
      </c>
      <c r="J11">
        <f t="shared" si="6"/>
        <v>-25</v>
      </c>
      <c r="K11">
        <f t="shared" ref="K11" si="7">CEILING(E11,5)</f>
        <v>-20</v>
      </c>
      <c r="L11">
        <f t="shared" si="3"/>
        <v>0.57000000000000028</v>
      </c>
      <c r="M11">
        <f t="shared" si="4"/>
        <v>-11</v>
      </c>
    </row>
    <row r="12" spans="1:13">
      <c r="A12" t="s">
        <v>137</v>
      </c>
      <c r="B12" t="s">
        <v>141</v>
      </c>
      <c r="C12" t="s">
        <v>251</v>
      </c>
      <c r="D12">
        <v>57</v>
      </c>
      <c r="E12">
        <v>-2.5</v>
      </c>
      <c r="F12">
        <f t="shared" si="5"/>
        <v>-3</v>
      </c>
      <c r="G12">
        <f t="shared" si="1"/>
        <v>-2</v>
      </c>
      <c r="H12">
        <f t="shared" si="2"/>
        <v>-3</v>
      </c>
      <c r="I12" t="e">
        <f t="shared" si="0"/>
        <v>#NUM!</v>
      </c>
      <c r="J12">
        <f t="shared" si="6"/>
        <v>-5</v>
      </c>
      <c r="K12">
        <f>_xlfn.CEILING.MATH(E12,2,0)</f>
        <v>-2</v>
      </c>
      <c r="L12">
        <f t="shared" si="3"/>
        <v>1.5</v>
      </c>
      <c r="M12">
        <f t="shared" si="4"/>
        <v>-1</v>
      </c>
    </row>
    <row r="13" spans="1:13">
      <c r="A13" t="s">
        <v>138</v>
      </c>
      <c r="B13" t="s">
        <v>141</v>
      </c>
      <c r="C13" t="s">
        <v>264</v>
      </c>
      <c r="D13">
        <v>2</v>
      </c>
      <c r="E13">
        <v>-2.1</v>
      </c>
      <c r="F13">
        <f t="shared" si="5"/>
        <v>-3</v>
      </c>
      <c r="G13">
        <f t="shared" si="1"/>
        <v>-2</v>
      </c>
      <c r="H13">
        <f t="shared" si="2"/>
        <v>-2</v>
      </c>
      <c r="I13" t="e">
        <f t="shared" si="0"/>
        <v>#NUM!</v>
      </c>
      <c r="J13">
        <f t="shared" si="6"/>
        <v>-5</v>
      </c>
      <c r="K13">
        <f>_xlfn.CEILING.MATH(E13,3,0)</f>
        <v>0</v>
      </c>
      <c r="L13">
        <f t="shared" si="3"/>
        <v>1.9</v>
      </c>
      <c r="M13">
        <f t="shared" si="4"/>
        <v>-1</v>
      </c>
    </row>
    <row r="14" spans="1:13">
      <c r="A14" t="s">
        <v>139</v>
      </c>
      <c r="B14" t="s">
        <v>141</v>
      </c>
      <c r="C14" t="s">
        <v>321</v>
      </c>
      <c r="D14">
        <v>9</v>
      </c>
      <c r="E14">
        <v>-31.5</v>
      </c>
      <c r="F14">
        <f t="shared" si="5"/>
        <v>-32</v>
      </c>
      <c r="G14">
        <f t="shared" si="1"/>
        <v>-31</v>
      </c>
      <c r="H14">
        <f t="shared" si="2"/>
        <v>-32</v>
      </c>
      <c r="I14" t="e">
        <f t="shared" si="0"/>
        <v>#NUM!</v>
      </c>
      <c r="J14">
        <f>_xlfn.FLOOR.MATH(E14,4,0)</f>
        <v>-32</v>
      </c>
      <c r="K14">
        <f>_xlfn.CEILING.MATH(E14,4,1)</f>
        <v>-32</v>
      </c>
      <c r="L14">
        <f t="shared" si="3"/>
        <v>0.5</v>
      </c>
      <c r="M14">
        <f t="shared" si="4"/>
        <v>-15</v>
      </c>
    </row>
    <row r="15" spans="1:13">
      <c r="A15" t="s">
        <v>137</v>
      </c>
      <c r="B15" t="s">
        <v>141</v>
      </c>
    </row>
    <row r="16" spans="1:13">
      <c r="A16" t="s">
        <v>138</v>
      </c>
      <c r="B16" t="s">
        <v>141</v>
      </c>
      <c r="E16" s="42" t="s">
        <v>344</v>
      </c>
      <c r="F16" s="42">
        <f>SUMPRODUCT(D8:D14,E8:E14)</f>
        <v>-1050.98686</v>
      </c>
      <c r="G16" s="42"/>
      <c r="H16" s="42"/>
    </row>
    <row r="17" spans="1:1">
      <c r="A17" t="s">
        <v>139</v>
      </c>
    </row>
    <row r="18" spans="1:1">
      <c r="A18" t="s">
        <v>137</v>
      </c>
    </row>
    <row r="19" spans="1:1">
      <c r="A19" t="s">
        <v>138</v>
      </c>
    </row>
  </sheetData>
  <customSheetViews>
    <customSheetView guid="{C78E632C-B4DE-416E-9417-BD43377A5CED}" scale="130" topLeftCell="A3">
      <selection activeCell="G7" sqref="G7"/>
      <pageMargins left="0.7" right="0.7" top="0.75" bottom="0.75" header="0.3" footer="0.3"/>
      <pageSetup orientation="portrait" r:id="rId1"/>
    </customSheetView>
    <customSheetView guid="{9C3B3B08-E836-4187-9F54-85567FC2169E}" scale="130" topLeftCell="A3">
      <selection activeCell="G7" sqref="G7"/>
      <pageMargins left="0.7" right="0.7" top="0.75" bottom="0.75" header="0.3" footer="0.3"/>
      <pageSetup orientation="portrait" r:id="rId2"/>
    </customSheetView>
    <customSheetView guid="{BD3EB043-29D0-4252-8BB4-3D6D39776A99}" scale="130" topLeftCell="A3">
      <selection activeCell="G7" sqref="G7"/>
      <pageMargins left="0.7" right="0.7" top="0.75" bottom="0.75" header="0.3" footer="0.3"/>
      <pageSetup orientation="portrait" r:id="rId3"/>
    </customSheetView>
  </customSheetViews>
  <pageMargins left="0.7" right="0.7" top="0.75" bottom="0.75" header="0.3" footer="0.3"/>
  <pageSetup orientation="portrait" r:id="rId4"/>
  <legacyDrawing r:id="rId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Views>
    <sheetView zoomScale="145" zoomScaleNormal="145" workbookViewId="0">
      <selection activeCell="E14" sqref="E14"/>
    </sheetView>
  </sheetViews>
  <sheetFormatPr defaultRowHeight="14.5"/>
  <cols>
    <col min="1" max="1" width="24.6328125" bestFit="1" customWidth="1"/>
    <col min="2" max="2" width="12.1796875" bestFit="1" customWidth="1"/>
    <col min="3" max="3" width="5.1796875" customWidth="1"/>
    <col min="4" max="4" width="9.6328125" bestFit="1" customWidth="1"/>
    <col min="6" max="6" width="15.26953125" bestFit="1" customWidth="1"/>
    <col min="7" max="7" width="12.1796875" bestFit="1" customWidth="1"/>
    <col min="8" max="8" width="5.1796875" customWidth="1"/>
    <col min="9" max="9" width="9.6328125" bestFit="1" customWidth="1"/>
  </cols>
  <sheetData>
    <row r="1" spans="1:9" ht="15" thickBot="1">
      <c r="A1" s="63" t="s">
        <v>352</v>
      </c>
      <c r="D1" t="s">
        <v>378</v>
      </c>
    </row>
    <row r="2" spans="1:9">
      <c r="A2" s="66"/>
      <c r="D2" s="67">
        <v>1</v>
      </c>
      <c r="E2" s="68" t="s">
        <v>379</v>
      </c>
      <c r="F2" s="68"/>
      <c r="G2" s="68"/>
      <c r="H2" s="68"/>
      <c r="I2" s="69"/>
    </row>
    <row r="3" spans="1:9">
      <c r="A3" s="66"/>
      <c r="D3" s="70">
        <v>2</v>
      </c>
      <c r="E3" s="53" t="s">
        <v>380</v>
      </c>
      <c r="F3" s="53"/>
      <c r="G3" s="53"/>
      <c r="H3" s="53"/>
      <c r="I3" s="71"/>
    </row>
    <row r="4" spans="1:9" ht="15" thickBot="1">
      <c r="A4" s="66"/>
      <c r="D4" s="72">
        <v>3</v>
      </c>
      <c r="E4" s="73" t="s">
        <v>381</v>
      </c>
      <c r="F4" s="73"/>
      <c r="G4" s="73"/>
      <c r="H4" s="73"/>
      <c r="I4" s="74"/>
    </row>
    <row r="5" spans="1:9" s="53" customFormat="1"/>
    <row r="7" spans="1:9">
      <c r="A7" s="2" t="s">
        <v>11</v>
      </c>
      <c r="B7" s="2" t="s">
        <v>23</v>
      </c>
      <c r="C7" s="2" t="s">
        <v>19</v>
      </c>
      <c r="D7" s="2" t="s">
        <v>18</v>
      </c>
      <c r="F7" s="2" t="s">
        <v>11</v>
      </c>
      <c r="G7" s="2" t="s">
        <v>23</v>
      </c>
      <c r="H7" s="2" t="s">
        <v>19</v>
      </c>
      <c r="I7" s="2" t="s">
        <v>18</v>
      </c>
    </row>
    <row r="8" spans="1:9">
      <c r="A8" s="2" t="s">
        <v>12</v>
      </c>
      <c r="B8" s="3"/>
      <c r="C8" s="3">
        <v>1</v>
      </c>
      <c r="D8" s="3">
        <v>12000</v>
      </c>
      <c r="F8" s="2" t="s">
        <v>12</v>
      </c>
      <c r="G8" s="3"/>
      <c r="H8" s="3">
        <v>1</v>
      </c>
      <c r="I8" s="3">
        <v>12000</v>
      </c>
    </row>
    <row r="9" spans="1:9">
      <c r="A9" s="2" t="s">
        <v>13</v>
      </c>
      <c r="B9" s="3"/>
      <c r="C9" s="3">
        <v>2</v>
      </c>
      <c r="D9" s="3">
        <v>1000</v>
      </c>
      <c r="F9" s="2" t="s">
        <v>357</v>
      </c>
      <c r="G9" s="3"/>
      <c r="H9" s="3">
        <v>2</v>
      </c>
      <c r="I9" s="3">
        <v>1000</v>
      </c>
    </row>
    <row r="10" spans="1:9">
      <c r="A10" s="2" t="s">
        <v>14</v>
      </c>
      <c r="B10" s="3"/>
      <c r="C10" s="3">
        <v>2</v>
      </c>
      <c r="D10" s="3">
        <v>1200</v>
      </c>
      <c r="F10" s="2" t="s">
        <v>14</v>
      </c>
      <c r="G10" s="3"/>
      <c r="H10" s="3">
        <v>2</v>
      </c>
      <c r="I10" s="3">
        <v>1200</v>
      </c>
    </row>
    <row r="11" spans="1:9">
      <c r="A11" s="2" t="s">
        <v>15</v>
      </c>
      <c r="B11" s="3"/>
      <c r="C11" s="3">
        <v>3</v>
      </c>
      <c r="D11" s="3">
        <v>1900</v>
      </c>
      <c r="F11" s="2" t="s">
        <v>15</v>
      </c>
      <c r="G11" s="3"/>
      <c r="H11" s="3">
        <v>3</v>
      </c>
      <c r="I11" s="3">
        <v>1900</v>
      </c>
    </row>
    <row r="12" spans="1:9">
      <c r="A12" s="2" t="s">
        <v>16</v>
      </c>
      <c r="B12" s="3"/>
      <c r="C12" s="3">
        <v>4</v>
      </c>
      <c r="D12" s="3">
        <v>2600</v>
      </c>
      <c r="F12" s="2" t="s">
        <v>16</v>
      </c>
      <c r="G12" s="3"/>
      <c r="H12" s="3">
        <v>4</v>
      </c>
      <c r="I12" s="3">
        <v>2600</v>
      </c>
    </row>
    <row r="13" spans="1:9">
      <c r="A13" s="2" t="s">
        <v>17</v>
      </c>
      <c r="B13" s="3"/>
      <c r="C13" s="3">
        <v>10</v>
      </c>
      <c r="D13" s="3">
        <v>85</v>
      </c>
      <c r="F13" s="2" t="s">
        <v>17</v>
      </c>
      <c r="G13" s="3"/>
      <c r="H13" s="3">
        <v>10</v>
      </c>
      <c r="I13" s="3">
        <v>85</v>
      </c>
    </row>
    <row r="15" spans="1:9">
      <c r="A15" s="63" t="s">
        <v>352</v>
      </c>
      <c r="F15" s="63" t="s">
        <v>353</v>
      </c>
      <c r="G15" t="s">
        <v>355</v>
      </c>
    </row>
    <row r="16" spans="1:9">
      <c r="A16" s="57" t="s">
        <v>312</v>
      </c>
      <c r="B16" s="57" t="s">
        <v>97</v>
      </c>
      <c r="C16" s="57" t="s">
        <v>10</v>
      </c>
      <c r="D16" s="57" t="s">
        <v>20</v>
      </c>
      <c r="F16" s="57" t="s">
        <v>312</v>
      </c>
      <c r="G16" s="57" t="s">
        <v>97</v>
      </c>
      <c r="H16" s="57" t="s">
        <v>10</v>
      </c>
      <c r="I16" s="57" t="s">
        <v>20</v>
      </c>
    </row>
    <row r="17" spans="1:9">
      <c r="A17" t="s">
        <v>16</v>
      </c>
      <c r="B17">
        <f>VLOOKUP(A17,$A$8:$D$13,4,FALSE)</f>
        <v>2600</v>
      </c>
      <c r="C17">
        <v>4</v>
      </c>
      <c r="D17">
        <f>B17*C17</f>
        <v>10400</v>
      </c>
      <c r="F17" t="s">
        <v>354</v>
      </c>
      <c r="G17" t="e">
        <f>VLOOKUP(TRIM(F17),F8:I13,4,0)</f>
        <v>#N/A</v>
      </c>
      <c r="H17" t="e">
        <f>VLOOKUP(TRIM(F17),Vtable2,3,0)</f>
        <v>#NAME?</v>
      </c>
    </row>
    <row r="18" spans="1:9">
      <c r="A18" t="s">
        <v>17</v>
      </c>
      <c r="B18">
        <f t="shared" ref="B18:B21" si="0">VLOOKUP(A18,$A$8:$D$13,4,FALSE)</f>
        <v>85</v>
      </c>
      <c r="C18">
        <v>2</v>
      </c>
      <c r="D18">
        <f t="shared" ref="D18:D21" si="1">B18*C18</f>
        <v>170</v>
      </c>
      <c r="F18" s="63" t="s">
        <v>353</v>
      </c>
      <c r="G18" t="s">
        <v>356</v>
      </c>
    </row>
    <row r="19" spans="1:9">
      <c r="A19" t="s">
        <v>349</v>
      </c>
      <c r="B19">
        <f t="shared" si="0"/>
        <v>1900</v>
      </c>
      <c r="C19">
        <v>3</v>
      </c>
      <c r="D19">
        <f t="shared" si="1"/>
        <v>5700</v>
      </c>
      <c r="F19" s="57" t="s">
        <v>312</v>
      </c>
      <c r="G19" s="57" t="s">
        <v>97</v>
      </c>
      <c r="H19" s="57" t="s">
        <v>10</v>
      </c>
      <c r="I19" s="57" t="s">
        <v>20</v>
      </c>
    </row>
    <row r="20" spans="1:9">
      <c r="A20" t="s">
        <v>350</v>
      </c>
      <c r="B20">
        <f t="shared" si="0"/>
        <v>1000</v>
      </c>
      <c r="C20">
        <v>4</v>
      </c>
      <c r="D20">
        <f t="shared" si="1"/>
        <v>4000</v>
      </c>
      <c r="F20" t="s">
        <v>350</v>
      </c>
      <c r="G20" t="e">
        <f t="array" ref="G20">VLOOKUP(F20,TRIM(Vtable2),4,0)</f>
        <v>#NAME?</v>
      </c>
      <c r="H20" t="s">
        <v>358</v>
      </c>
    </row>
    <row r="21" spans="1:9">
      <c r="A21" t="s">
        <v>351</v>
      </c>
      <c r="B21">
        <f t="shared" si="0"/>
        <v>12000</v>
      </c>
      <c r="C21">
        <v>5</v>
      </c>
      <c r="D21">
        <f t="shared" si="1"/>
        <v>60000</v>
      </c>
    </row>
    <row r="23" spans="1:9">
      <c r="A23" s="63" t="s">
        <v>313</v>
      </c>
    </row>
    <row r="24" spans="1:9">
      <c r="A24" s="57" t="s">
        <v>312</v>
      </c>
      <c r="B24" s="57" t="s">
        <v>97</v>
      </c>
      <c r="C24" s="57" t="s">
        <v>10</v>
      </c>
      <c r="D24" s="57" t="s">
        <v>20</v>
      </c>
    </row>
    <row r="25" spans="1:9">
      <c r="A25" t="s">
        <v>13</v>
      </c>
      <c r="B25">
        <f>VLOOKUP(A$25,$A$17:$D$21,2,TRUE)</f>
        <v>85</v>
      </c>
      <c r="C25">
        <v>76</v>
      </c>
    </row>
    <row r="27" spans="1:9">
      <c r="A27" s="63" t="s">
        <v>314</v>
      </c>
    </row>
    <row r="28" spans="1:9">
      <c r="A28" s="57" t="s">
        <v>312</v>
      </c>
      <c r="B28" s="57" t="s">
        <v>97</v>
      </c>
      <c r="C28" s="57" t="s">
        <v>10</v>
      </c>
      <c r="D28" s="57" t="s">
        <v>20</v>
      </c>
    </row>
    <row r="29" spans="1:9">
      <c r="A29" t="s">
        <v>13</v>
      </c>
      <c r="B29" t="e">
        <f>VLOOKUP(A29,VTable,4,0)</f>
        <v>#NAME?</v>
      </c>
    </row>
  </sheetData>
  <customSheetViews>
    <customSheetView guid="{C78E632C-B4DE-416E-9417-BD43377A5CED}" scale="145">
      <selection activeCell="F7" sqref="F7:I13"/>
      <pageMargins left="0.7" right="0.7" top="0.75" bottom="0.75" header="0.3" footer="0.3"/>
      <pageSetup orientation="portrait" r:id="rId1"/>
    </customSheetView>
    <customSheetView guid="{9C3B3B08-E836-4187-9F54-85567FC2169E}" scale="145">
      <selection activeCell="F7" sqref="F7:I13"/>
      <pageMargins left="0.7" right="0.7" top="0.75" bottom="0.75" header="0.3" footer="0.3"/>
      <pageSetup orientation="portrait" r:id="rId2"/>
    </customSheetView>
    <customSheetView guid="{BD3EB043-29D0-4252-8BB4-3D6D39776A99}" scale="145">
      <selection activeCell="F7" sqref="F7:I13"/>
      <pageMargins left="0.7" right="0.7" top="0.75" bottom="0.75" header="0.3" footer="0.3"/>
      <pageSetup orientation="portrait" r:id="rId3"/>
    </customSheetView>
  </customSheetViews>
  <dataValidations count="1">
    <dataValidation type="list" allowBlank="1" showInputMessage="1" showErrorMessage="1" sqref="A25">
      <formula1>$A$17:$A$21</formula1>
    </dataValidation>
  </dataValidations>
  <pageMargins left="0.7" right="0.7" top="0.75" bottom="0.75" header="0.3" footer="0.3"/>
  <pageSetup orientation="portrait" r:id="rId4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G5"/>
  <sheetViews>
    <sheetView workbookViewId="0">
      <selection activeCell="E18" sqref="E18"/>
    </sheetView>
  </sheetViews>
  <sheetFormatPr defaultRowHeight="14.5"/>
  <cols>
    <col min="1" max="1" width="12.54296875" bestFit="1" customWidth="1"/>
    <col min="2" max="2" width="13.26953125" bestFit="1" customWidth="1"/>
    <col min="3" max="3" width="14.36328125" bestFit="1" customWidth="1"/>
    <col min="6" max="6" width="10.1796875" bestFit="1" customWidth="1"/>
    <col min="7" max="7" width="14.1796875" bestFit="1" customWidth="1"/>
  </cols>
  <sheetData>
    <row r="4" spans="1:7">
      <c r="A4" t="s">
        <v>315</v>
      </c>
      <c r="B4" t="s">
        <v>316</v>
      </c>
      <c r="C4" t="s">
        <v>317</v>
      </c>
    </row>
    <row r="5" spans="1:7">
      <c r="F5" t="s">
        <v>318</v>
      </c>
      <c r="G5" t="s">
        <v>319</v>
      </c>
    </row>
  </sheetData>
  <customSheetViews>
    <customSheetView guid="{C78E632C-B4DE-416E-9417-BD43377A5CED}">
      <selection activeCell="C7" sqref="C7"/>
      <pageMargins left="0.7" right="0.7" top="0.75" bottom="0.75" header="0.3" footer="0.3"/>
    </customSheetView>
    <customSheetView guid="{9C3B3B08-E836-4187-9F54-85567FC2169E}">
      <selection activeCell="C7" sqref="C7"/>
      <pageMargins left="0.7" right="0.7" top="0.75" bottom="0.75" header="0.3" footer="0.3"/>
    </customSheetView>
    <customSheetView guid="{BD3EB043-29D0-4252-8BB4-3D6D39776A99}">
      <selection activeCell="C7" sqref="C7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2"/>
  <sheetViews>
    <sheetView workbookViewId="0">
      <selection activeCell="B13" sqref="B13"/>
    </sheetView>
  </sheetViews>
  <sheetFormatPr defaultRowHeight="14.5"/>
  <cols>
    <col min="1" max="1" width="14.81640625" bestFit="1" customWidth="1"/>
    <col min="2" max="2" width="13.26953125" bestFit="1" customWidth="1"/>
    <col min="3" max="3" width="13" bestFit="1" customWidth="1"/>
    <col min="4" max="4" width="11.54296875" bestFit="1" customWidth="1"/>
    <col min="5" max="5" width="11.1796875" bestFit="1" customWidth="1"/>
    <col min="6" max="7" width="11.36328125" bestFit="1" customWidth="1"/>
  </cols>
  <sheetData>
    <row r="1" spans="1:19" ht="23.5">
      <c r="A1" s="64" t="s">
        <v>359</v>
      </c>
      <c r="C1" t="s">
        <v>360</v>
      </c>
      <c r="S1" s="56" t="s">
        <v>288</v>
      </c>
    </row>
    <row r="2" spans="1:19">
      <c r="S2" s="56" t="s">
        <v>289</v>
      </c>
    </row>
    <row r="3" spans="1:19">
      <c r="S3" s="56" t="s">
        <v>327</v>
      </c>
    </row>
    <row r="4" spans="1:19">
      <c r="A4" s="65" t="s">
        <v>361</v>
      </c>
      <c r="B4" s="65" t="s">
        <v>362</v>
      </c>
      <c r="C4" s="65" t="s">
        <v>363</v>
      </c>
      <c r="D4" s="65" t="s">
        <v>364</v>
      </c>
      <c r="E4" s="65" t="s">
        <v>365</v>
      </c>
      <c r="F4" s="65" t="s">
        <v>366</v>
      </c>
      <c r="G4" s="65" t="s">
        <v>367</v>
      </c>
      <c r="S4" s="56" t="s">
        <v>328</v>
      </c>
    </row>
    <row r="5" spans="1:19">
      <c r="A5" s="65" t="s">
        <v>368</v>
      </c>
      <c r="B5" t="s">
        <v>371</v>
      </c>
      <c r="C5" t="s">
        <v>372</v>
      </c>
      <c r="D5" t="s">
        <v>373</v>
      </c>
      <c r="E5" t="s">
        <v>374</v>
      </c>
      <c r="F5" t="s">
        <v>375</v>
      </c>
      <c r="G5" t="s">
        <v>376</v>
      </c>
    </row>
    <row r="6" spans="1:19">
      <c r="A6" s="65" t="s">
        <v>369</v>
      </c>
      <c r="B6">
        <v>2</v>
      </c>
      <c r="C6">
        <v>3</v>
      </c>
      <c r="D6">
        <v>4</v>
      </c>
      <c r="E6">
        <v>5</v>
      </c>
      <c r="F6">
        <v>6</v>
      </c>
      <c r="G6">
        <v>7</v>
      </c>
    </row>
    <row r="7" spans="1:19">
      <c r="A7" s="65" t="s">
        <v>370</v>
      </c>
      <c r="B7">
        <v>1233</v>
      </c>
      <c r="C7">
        <v>43224</v>
      </c>
      <c r="D7">
        <v>34232</v>
      </c>
      <c r="E7">
        <v>24335</v>
      </c>
      <c r="F7">
        <v>2432</v>
      </c>
      <c r="G7">
        <v>243422</v>
      </c>
    </row>
    <row r="11" spans="1:19">
      <c r="A11" s="65" t="s">
        <v>377</v>
      </c>
      <c r="B11" s="65" t="s">
        <v>97</v>
      </c>
    </row>
    <row r="12" spans="1:19">
      <c r="A12" t="s">
        <v>13</v>
      </c>
      <c r="B12">
        <f>HLOOKUP(A12,B4:G7,4,0)</f>
        <v>24335</v>
      </c>
    </row>
  </sheetData>
  <customSheetViews>
    <customSheetView guid="{C78E632C-B4DE-416E-9417-BD43377A5CED}">
      <selection activeCell="B13" sqref="B13"/>
      <pageMargins left="0.7" right="0.7" top="0.75" bottom="0.75" header="0.3" footer="0.3"/>
    </customSheetView>
    <customSheetView guid="{9C3B3B08-E836-4187-9F54-85567FC2169E}">
      <selection activeCell="B13" sqref="B13"/>
      <pageMargins left="0.7" right="0.7" top="0.75" bottom="0.75" header="0.3" footer="0.3"/>
    </customSheetView>
    <customSheetView guid="{BD3EB043-29D0-4252-8BB4-3D6D39776A99}">
      <selection activeCell="B13" sqref="B13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3"/>
  <sheetViews>
    <sheetView workbookViewId="0">
      <selection activeCell="D14" sqref="D14"/>
    </sheetView>
  </sheetViews>
  <sheetFormatPr defaultRowHeight="14.5"/>
  <cols>
    <col min="1" max="1" width="22.7265625" bestFit="1" customWidth="1"/>
    <col min="3" max="3" width="9.90625" bestFit="1" customWidth="1"/>
    <col min="8" max="8" width="9.90625" bestFit="1" customWidth="1"/>
    <col min="9" max="9" width="5.26953125" customWidth="1"/>
  </cols>
  <sheetData>
    <row r="1" spans="1:13" ht="21">
      <c r="A1" s="76" t="s">
        <v>382</v>
      </c>
    </row>
    <row r="3" spans="1:13" ht="21">
      <c r="C3" s="76" t="s">
        <v>383</v>
      </c>
      <c r="D3" s="76" t="s">
        <v>384</v>
      </c>
      <c r="H3" s="76" t="s">
        <v>383</v>
      </c>
      <c r="I3" s="76" t="s">
        <v>384</v>
      </c>
    </row>
    <row r="4" spans="1:13">
      <c r="C4">
        <v>1200</v>
      </c>
      <c r="D4">
        <f>LOOKUP(C4,H4:H8,I4:I8)</f>
        <v>10</v>
      </c>
      <c r="H4">
        <v>0</v>
      </c>
      <c r="I4">
        <v>5</v>
      </c>
    </row>
    <row r="5" spans="1:13">
      <c r="C5">
        <v>12000</v>
      </c>
      <c r="D5">
        <f>LOOKUP(C5,H5:H9,I5:I9)</f>
        <v>15</v>
      </c>
      <c r="H5">
        <v>1200</v>
      </c>
      <c r="I5">
        <v>10</v>
      </c>
    </row>
    <row r="6" spans="1:13">
      <c r="H6">
        <v>12000</v>
      </c>
      <c r="I6">
        <v>15</v>
      </c>
    </row>
    <row r="7" spans="1:13">
      <c r="H7">
        <v>120000</v>
      </c>
      <c r="I7">
        <v>20</v>
      </c>
    </row>
    <row r="8" spans="1:13">
      <c r="H8">
        <v>1200000</v>
      </c>
      <c r="I8">
        <v>15</v>
      </c>
    </row>
    <row r="12" spans="1:13" ht="21">
      <c r="C12" s="76" t="s">
        <v>383</v>
      </c>
      <c r="D12" s="76" t="s">
        <v>384</v>
      </c>
      <c r="H12" s="76" t="s">
        <v>383</v>
      </c>
      <c r="I12">
        <v>0</v>
      </c>
      <c r="J12">
        <v>1200</v>
      </c>
      <c r="K12">
        <v>12000</v>
      </c>
      <c r="L12">
        <v>120000</v>
      </c>
      <c r="M12">
        <v>1200000</v>
      </c>
    </row>
    <row r="13" spans="1:13" ht="21">
      <c r="C13">
        <v>1200</v>
      </c>
      <c r="D13">
        <f>LOOKUP(C13,I12:M12,I13:M13)</f>
        <v>10</v>
      </c>
      <c r="H13" s="76" t="s">
        <v>384</v>
      </c>
      <c r="I13">
        <v>5</v>
      </c>
      <c r="J13">
        <v>10</v>
      </c>
      <c r="K13">
        <v>15</v>
      </c>
      <c r="L13">
        <v>20</v>
      </c>
      <c r="M13">
        <v>15</v>
      </c>
    </row>
  </sheetData>
  <customSheetViews>
    <customSheetView guid="{C78E632C-B4DE-416E-9417-BD43377A5CED}">
      <selection activeCell="D14" sqref="D14"/>
      <pageMargins left="0.7" right="0.7" top="0.75" bottom="0.75" header="0.3" footer="0.3"/>
    </customSheetView>
    <customSheetView guid="{9C3B3B08-E836-4187-9F54-85567FC2169E}">
      <selection activeCell="D14" sqref="D14"/>
      <pageMargins left="0.7" right="0.7" top="0.75" bottom="0.75" header="0.3" footer="0.3"/>
    </customSheetView>
    <customSheetView guid="{BD3EB043-29D0-4252-8BB4-3D6D39776A99}">
      <selection activeCell="D14" sqref="D14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"/>
  <sheetViews>
    <sheetView workbookViewId="0">
      <selection activeCell="B17" sqref="B17"/>
    </sheetView>
  </sheetViews>
  <sheetFormatPr defaultRowHeight="14.5"/>
  <cols>
    <col min="1" max="1" width="26.26953125" bestFit="1" customWidth="1"/>
    <col min="2" max="2" width="12.1796875" bestFit="1" customWidth="1"/>
    <col min="3" max="3" width="8.1796875" bestFit="1" customWidth="1"/>
    <col min="4" max="4" width="8.90625" bestFit="1" customWidth="1"/>
  </cols>
  <sheetData>
    <row r="1" spans="1:11" ht="15.5">
      <c r="A1" s="75" t="s">
        <v>385</v>
      </c>
    </row>
    <row r="2" spans="1:11">
      <c r="A2" s="27" t="s">
        <v>392</v>
      </c>
    </row>
    <row r="4" spans="1:11">
      <c r="A4" s="2" t="s">
        <v>11</v>
      </c>
      <c r="B4" s="2" t="s">
        <v>23</v>
      </c>
      <c r="C4" s="2" t="s">
        <v>19</v>
      </c>
      <c r="D4" s="2" t="s">
        <v>18</v>
      </c>
      <c r="H4" s="2" t="s">
        <v>11</v>
      </c>
      <c r="I4" s="2" t="s">
        <v>23</v>
      </c>
      <c r="J4" s="2" t="s">
        <v>19</v>
      </c>
      <c r="K4" s="2" t="s">
        <v>18</v>
      </c>
    </row>
    <row r="5" spans="1:11">
      <c r="A5" s="2" t="s">
        <v>12</v>
      </c>
      <c r="B5" s="3" t="s">
        <v>386</v>
      </c>
      <c r="C5" s="3">
        <v>1</v>
      </c>
      <c r="D5" s="3">
        <v>12000</v>
      </c>
      <c r="H5" t="s">
        <v>13</v>
      </c>
      <c r="I5" t="str">
        <f>VLOOKUP(H5,A5:D10,2,0)</f>
        <v>wqe</v>
      </c>
      <c r="J5">
        <f t="shared" ref="J5:K5" si="0">VLOOKUP(I5,B5:E10,2,0)</f>
        <v>2</v>
      </c>
      <c r="K5">
        <f t="shared" si="0"/>
        <v>1000</v>
      </c>
    </row>
    <row r="6" spans="1:11">
      <c r="A6" s="2" t="s">
        <v>13</v>
      </c>
      <c r="B6" s="3" t="s">
        <v>387</v>
      </c>
      <c r="C6" s="3">
        <v>2</v>
      </c>
      <c r="D6" s="3">
        <v>1000</v>
      </c>
    </row>
    <row r="7" spans="1:11">
      <c r="A7" s="2" t="s">
        <v>14</v>
      </c>
      <c r="B7" s="3" t="s">
        <v>388</v>
      </c>
      <c r="C7" s="3">
        <v>2</v>
      </c>
      <c r="D7" s="3">
        <v>1200</v>
      </c>
    </row>
    <row r="8" spans="1:11">
      <c r="A8" s="2" t="s">
        <v>15</v>
      </c>
      <c r="B8" s="3" t="s">
        <v>389</v>
      </c>
      <c r="C8" s="3">
        <v>3</v>
      </c>
      <c r="D8" s="3">
        <v>1900</v>
      </c>
      <c r="H8" t="s">
        <v>16</v>
      </c>
      <c r="I8" t="str">
        <f>VLOOKUP($H$8,$A$5:$D$10,MATCH(I4,$A$4:$D$4,0),0)</f>
        <v>ewq</v>
      </c>
      <c r="J8">
        <f t="shared" ref="J8:K8" si="1">VLOOKUP($H$8,$A$5:$D$10,MATCH(J4,$A$4:$D$4,0),0)</f>
        <v>4</v>
      </c>
      <c r="K8">
        <f t="shared" si="1"/>
        <v>2600</v>
      </c>
    </row>
    <row r="9" spans="1:11">
      <c r="A9" s="2" t="s">
        <v>16</v>
      </c>
      <c r="B9" s="3" t="s">
        <v>390</v>
      </c>
      <c r="C9" s="3">
        <v>4</v>
      </c>
      <c r="D9" s="3">
        <v>2600</v>
      </c>
    </row>
    <row r="10" spans="1:11">
      <c r="A10" s="2" t="s">
        <v>17</v>
      </c>
      <c r="B10" s="3" t="s">
        <v>391</v>
      </c>
      <c r="C10" s="3">
        <v>10</v>
      </c>
      <c r="D10" s="3">
        <v>85</v>
      </c>
    </row>
  </sheetData>
  <customSheetViews>
    <customSheetView guid="{C78E632C-B4DE-416E-9417-BD43377A5CED}">
      <selection activeCell="B17" sqref="B17"/>
      <pageMargins left="0.7" right="0.7" top="0.75" bottom="0.75" header="0.3" footer="0.3"/>
    </customSheetView>
    <customSheetView guid="{9C3B3B08-E836-4187-9F54-85567FC2169E}">
      <selection activeCell="B17" sqref="B17"/>
      <pageMargins left="0.7" right="0.7" top="0.75" bottom="0.75" header="0.3" footer="0.3"/>
    </customSheetView>
    <customSheetView guid="{BD3EB043-29D0-4252-8BB4-3D6D39776A99}">
      <selection activeCell="B17" sqref="B17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Views>
    <sheetView workbookViewId="0">
      <selection activeCell="A6" sqref="A6:A12"/>
    </sheetView>
  </sheetViews>
  <sheetFormatPr defaultRowHeight="14.5"/>
  <cols>
    <col min="1" max="1" width="16.6328125" bestFit="1" customWidth="1"/>
    <col min="2" max="2" width="12.1796875" bestFit="1" customWidth="1"/>
    <col min="3" max="3" width="8.1796875" bestFit="1" customWidth="1"/>
    <col min="4" max="4" width="8.90625" bestFit="1" customWidth="1"/>
    <col min="8" max="8" width="12.6328125" bestFit="1" customWidth="1"/>
    <col min="10" max="10" width="12.6328125" bestFit="1" customWidth="1"/>
  </cols>
  <sheetData>
    <row r="1" spans="1:10" ht="15.5">
      <c r="A1" s="75" t="s">
        <v>393</v>
      </c>
    </row>
    <row r="2" spans="1:10">
      <c r="A2" t="s">
        <v>396</v>
      </c>
    </row>
    <row r="6" spans="1:10">
      <c r="A6" s="2" t="s">
        <v>11</v>
      </c>
      <c r="B6" s="2" t="s">
        <v>23</v>
      </c>
      <c r="C6" s="2" t="s">
        <v>19</v>
      </c>
      <c r="D6" s="2" t="s">
        <v>18</v>
      </c>
      <c r="H6" s="2" t="s">
        <v>395</v>
      </c>
      <c r="I6" s="2" t="s">
        <v>394</v>
      </c>
    </row>
    <row r="7" spans="1:10">
      <c r="A7" s="2" t="s">
        <v>12</v>
      </c>
      <c r="B7" s="3" t="s">
        <v>386</v>
      </c>
      <c r="C7" s="3">
        <v>1</v>
      </c>
      <c r="D7" s="3">
        <v>12000</v>
      </c>
      <c r="H7">
        <v>2</v>
      </c>
      <c r="I7" t="str">
        <f>INDEX(A7:A12,H7)</f>
        <v>Chair</v>
      </c>
    </row>
    <row r="8" spans="1:10">
      <c r="A8" s="2" t="s">
        <v>13</v>
      </c>
      <c r="B8" s="3" t="s">
        <v>387</v>
      </c>
      <c r="C8" s="3">
        <v>2</v>
      </c>
      <c r="D8" s="3">
        <v>1000</v>
      </c>
    </row>
    <row r="9" spans="1:10">
      <c r="A9" s="2" t="s">
        <v>14</v>
      </c>
      <c r="B9" s="3" t="s">
        <v>388</v>
      </c>
      <c r="C9" s="3">
        <v>2</v>
      </c>
      <c r="D9" s="3">
        <v>1200</v>
      </c>
    </row>
    <row r="10" spans="1:10">
      <c r="A10" s="2" t="s">
        <v>15</v>
      </c>
      <c r="B10" s="3" t="s">
        <v>389</v>
      </c>
      <c r="C10" s="3">
        <v>3</v>
      </c>
      <c r="D10" s="3">
        <v>1900</v>
      </c>
    </row>
    <row r="11" spans="1:10">
      <c r="A11" s="2" t="s">
        <v>16</v>
      </c>
      <c r="B11" s="3" t="s">
        <v>390</v>
      </c>
      <c r="C11" s="3">
        <v>4</v>
      </c>
      <c r="D11" s="3">
        <v>2600</v>
      </c>
    </row>
    <row r="12" spans="1:10">
      <c r="A12" s="2" t="s">
        <v>17</v>
      </c>
      <c r="B12" s="3" t="s">
        <v>391</v>
      </c>
      <c r="C12" s="3">
        <v>10</v>
      </c>
      <c r="D12" s="3">
        <v>85</v>
      </c>
      <c r="H12" s="2" t="s">
        <v>571</v>
      </c>
      <c r="I12" s="2" t="s">
        <v>572</v>
      </c>
      <c r="J12" s="2" t="s">
        <v>573</v>
      </c>
    </row>
    <row r="13" spans="1:10">
      <c r="H13">
        <v>3</v>
      </c>
      <c r="I13">
        <v>2</v>
      </c>
      <c r="J13" t="str">
        <f>INDEX(A7:D12,H13,I13)</f>
        <v>rew</v>
      </c>
    </row>
  </sheetData>
  <customSheetViews>
    <customSheetView guid="{C78E632C-B4DE-416E-9417-BD43377A5CED}">
      <selection activeCell="B8" sqref="B8"/>
      <pageMargins left="0.7" right="0.7" top="0.75" bottom="0.75" header="0.3" footer="0.3"/>
    </customSheetView>
    <customSheetView guid="{9C3B3B08-E836-4187-9F54-85567FC2169E}">
      <selection activeCell="B8" sqref="B8"/>
      <pageMargins left="0.7" right="0.7" top="0.75" bottom="0.75" header="0.3" footer="0.3"/>
    </customSheetView>
    <customSheetView guid="{BD3EB043-29D0-4252-8BB4-3D6D39776A99}">
      <selection activeCell="B8" sqref="B8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zoomScale="175" zoomScaleNormal="175" workbookViewId="0">
      <selection sqref="A1:A7"/>
    </sheetView>
  </sheetViews>
  <sheetFormatPr defaultRowHeight="14.5"/>
  <cols>
    <col min="1" max="1" width="9" bestFit="1" customWidth="1"/>
    <col min="4" max="4" width="15.81640625" bestFit="1" customWidth="1"/>
  </cols>
  <sheetData>
    <row r="1" spans="1:4">
      <c r="A1" s="2" t="s">
        <v>11</v>
      </c>
      <c r="C1" s="2" t="s">
        <v>63</v>
      </c>
      <c r="D1" s="2" t="s">
        <v>574</v>
      </c>
    </row>
    <row r="2" spans="1:4">
      <c r="A2" s="2" t="s">
        <v>12</v>
      </c>
      <c r="C2" t="s">
        <v>13</v>
      </c>
      <c r="D2">
        <f>MATCH(C2,A1:A7,0)</f>
        <v>3</v>
      </c>
    </row>
    <row r="3" spans="1:4">
      <c r="A3" s="2" t="s">
        <v>13</v>
      </c>
    </row>
    <row r="4" spans="1:4">
      <c r="A4" s="2" t="s">
        <v>14</v>
      </c>
    </row>
    <row r="5" spans="1:4">
      <c r="A5" s="2" t="s">
        <v>15</v>
      </c>
    </row>
    <row r="6" spans="1:4">
      <c r="A6" s="2" t="s">
        <v>16</v>
      </c>
    </row>
    <row r="7" spans="1:4">
      <c r="A7" s="2" t="s">
        <v>17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zoomScale="145" zoomScaleNormal="145" workbookViewId="0">
      <selection activeCell="D12" sqref="A1:D12"/>
    </sheetView>
  </sheetViews>
  <sheetFormatPr defaultRowHeight="14.5"/>
  <cols>
    <col min="1" max="1" width="8.26953125" bestFit="1" customWidth="1"/>
    <col min="3" max="3" width="30.90625" bestFit="1" customWidth="1"/>
  </cols>
  <sheetData>
    <row r="1" spans="1:3">
      <c r="A1" s="102" t="s">
        <v>63</v>
      </c>
      <c r="C1" s="82" t="s">
        <v>575</v>
      </c>
    </row>
    <row r="2" spans="1:3">
      <c r="A2" s="102" t="s">
        <v>12</v>
      </c>
      <c r="C2" t="s">
        <v>576</v>
      </c>
    </row>
    <row r="3" spans="1:3">
      <c r="A3" s="102" t="s">
        <v>13</v>
      </c>
      <c r="C3" t="s">
        <v>577</v>
      </c>
    </row>
    <row r="4" spans="1:3">
      <c r="A4" s="102" t="s">
        <v>14</v>
      </c>
      <c r="C4" t="s">
        <v>578</v>
      </c>
    </row>
    <row r="5" spans="1:3">
      <c r="A5" s="102" t="s">
        <v>15</v>
      </c>
    </row>
    <row r="6" spans="1:3">
      <c r="A6" s="102" t="s">
        <v>16</v>
      </c>
      <c r="C6" s="82" t="s">
        <v>579</v>
      </c>
    </row>
    <row r="7" spans="1:3">
      <c r="A7" s="102" t="s">
        <v>259</v>
      </c>
      <c r="C7" t="s">
        <v>580</v>
      </c>
    </row>
    <row r="8" spans="1:3">
      <c r="C8" t="s">
        <v>581</v>
      </c>
    </row>
    <row r="9" spans="1:3">
      <c r="C9" t="s">
        <v>578</v>
      </c>
    </row>
  </sheetData>
  <sheetProtection algorithmName="SHA-512" hashValue="ZN52chdTIKLSwvoPixRZofj+6O5eIy9oq6RRan7uPqer8FBATE1sA9tnR0lF7A58BPfYm+Y3T0qfu67TDX5RJg==" saltValue="cYTsnRcKR1N6k9xE42LQJw==" spinCount="100000" sheet="1" objects="1" scenarios="1"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zoomScale="130" zoomScaleNormal="130" workbookViewId="0">
      <selection activeCell="F7" sqref="F7"/>
    </sheetView>
  </sheetViews>
  <sheetFormatPr defaultRowHeight="14.5"/>
  <cols>
    <col min="1" max="16384" width="8.7265625" style="103"/>
  </cols>
  <sheetData>
    <row r="1" spans="1:3">
      <c r="A1" s="105" t="s">
        <v>63</v>
      </c>
      <c r="C1" s="104" t="s">
        <v>575</v>
      </c>
    </row>
    <row r="2" spans="1:3">
      <c r="A2" s="105" t="s">
        <v>582</v>
      </c>
      <c r="B2" s="103" t="s">
        <v>259</v>
      </c>
      <c r="C2" s="103" t="s">
        <v>576</v>
      </c>
    </row>
    <row r="3" spans="1:3">
      <c r="A3" s="105" t="s">
        <v>13</v>
      </c>
      <c r="C3" s="103" t="s">
        <v>577</v>
      </c>
    </row>
    <row r="4" spans="1:3">
      <c r="A4" s="105" t="s">
        <v>14</v>
      </c>
      <c r="C4" s="103" t="s">
        <v>578</v>
      </c>
    </row>
    <row r="5" spans="1:3">
      <c r="A5" s="105" t="s">
        <v>15</v>
      </c>
    </row>
    <row r="6" spans="1:3">
      <c r="A6" s="105" t="s">
        <v>16</v>
      </c>
      <c r="C6" s="104" t="s">
        <v>579</v>
      </c>
    </row>
    <row r="7" spans="1:3">
      <c r="A7" s="105" t="s">
        <v>259</v>
      </c>
      <c r="C7" s="103" t="s">
        <v>580</v>
      </c>
    </row>
    <row r="8" spans="1:3">
      <c r="C8" s="103" t="s">
        <v>581</v>
      </c>
    </row>
    <row r="9" spans="1:3">
      <c r="C9" s="103" t="s">
        <v>263</v>
      </c>
    </row>
  </sheetData>
  <sheetProtection algorithmName="SHA-512" hashValue="cmkDc/NGHS1sYsCCzQFbrLiyTBRYr+V54+gBQihmQTa14xMU2jM6xnlY0+5QJl5oG+vLZt5mBU0f0TIB0y8RaA==" saltValue="obZuybqhO6F9Hni2XP9AWg==" spinCount="100000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47</vt:i4>
      </vt:variant>
      <vt:variant>
        <vt:lpstr>Named Ranges</vt:lpstr>
      </vt:variant>
      <vt:variant>
        <vt:i4>1</vt:i4>
      </vt:variant>
    </vt:vector>
  </HeadingPairs>
  <TitlesOfParts>
    <vt:vector size="48" baseType="lpstr">
      <vt:lpstr>2. BASICS</vt:lpstr>
      <vt:lpstr>3. CREATE &amp; CLOSE FILES</vt:lpstr>
      <vt:lpstr>Cell reference</vt:lpstr>
      <vt:lpstr>SPEAK CELLS</vt:lpstr>
      <vt:lpstr>TEXT TO COLUMNS</vt:lpstr>
      <vt:lpstr>15.Flash Fill</vt:lpstr>
      <vt:lpstr>Viewing worksheets</vt:lpstr>
      <vt:lpstr>Custom Views</vt:lpstr>
      <vt:lpstr>Comparing two sheets</vt:lpstr>
      <vt:lpstr>2016</vt:lpstr>
      <vt:lpstr>2017</vt:lpstr>
      <vt:lpstr>Edit Custom List</vt:lpstr>
      <vt:lpstr>SHow Formulas</vt:lpstr>
      <vt:lpstr>Logical Test</vt:lpstr>
      <vt:lpstr>IF Function</vt:lpstr>
      <vt:lpstr>Nested IF</vt:lpstr>
      <vt:lpstr>AND Function</vt:lpstr>
      <vt:lpstr>OR Funtion</vt:lpstr>
      <vt:lpstr>NOT Function</vt:lpstr>
      <vt:lpstr>IF Error Function</vt:lpstr>
      <vt:lpstr>Auditing Tools</vt:lpstr>
      <vt:lpstr>Evaluate Formula</vt:lpstr>
      <vt:lpstr>TEXT Function</vt:lpstr>
      <vt:lpstr>Date function</vt:lpstr>
      <vt:lpstr>Sheet1</vt:lpstr>
      <vt:lpstr>Sheet2</vt:lpstr>
      <vt:lpstr>PRACTICE CF</vt:lpstr>
      <vt:lpstr>Practice</vt:lpstr>
      <vt:lpstr>VLOOKUP</vt:lpstr>
      <vt:lpstr>VLOOKUP_MATCH</vt:lpstr>
      <vt:lpstr>HLOOKUP</vt:lpstr>
      <vt:lpstr>XLOOKUP</vt:lpstr>
      <vt:lpstr>lookup </vt:lpstr>
      <vt:lpstr>NameRange</vt:lpstr>
      <vt:lpstr>NameRangeFormulas</vt:lpstr>
      <vt:lpstr>CountFunction</vt:lpstr>
      <vt:lpstr>Statistical Functions</vt:lpstr>
      <vt:lpstr>Mathematical Functions</vt:lpstr>
      <vt:lpstr>VLOOKUP_exactmatch</vt:lpstr>
      <vt:lpstr>Vlookup_appx_match</vt:lpstr>
      <vt:lpstr>HLOOKUP_</vt:lpstr>
      <vt:lpstr>LOOKUP Function</vt:lpstr>
      <vt:lpstr>VLOOKUP Full Record</vt:lpstr>
      <vt:lpstr>INDEX FUNCTION</vt:lpstr>
      <vt:lpstr>MATCH FUNCTIONS</vt:lpstr>
      <vt:lpstr>Protect Sheet</vt:lpstr>
      <vt:lpstr>Sheet7</vt:lpstr>
      <vt:lpstr>IRSHAD_ALI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Mayank Raghuwanshi</dc:creator>
  <cp:lastModifiedBy>Mayank Raghuwanshi</cp:lastModifiedBy>
  <dcterms:created xsi:type="dcterms:W3CDTF">2024-06-04T05:06:43Z</dcterms:created>
  <dcterms:modified xsi:type="dcterms:W3CDTF">2025-06-04T06:10:51Z</dcterms:modified>
</cp:coreProperties>
</file>